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ctrlProps/ctrlProp4.xml" ContentType="application/vnd.ms-excel.controlproperties+xml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ctrlProps/ctrlProp5.xml" ContentType="application/vnd.ms-excel.controlproperties+xml"/>
  <Override PartName="/xl/tables/table5.xml" ContentType="application/vnd.openxmlformats-officedocument.spreadsheetml.table+xml"/>
  <Override PartName="/xl/drawings/drawing6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tables/table6.xml" ContentType="application/vnd.openxmlformats-officedocument.spreadsheetml.table+xml"/>
  <Override PartName="/xl/drawings/drawing7.xml" ContentType="application/vnd.openxmlformats-officedocument.drawing+xml"/>
  <Override PartName="/xl/ctrlProps/ctrlProp8.xml" ContentType="application/vnd.ms-excel.controlproperties+xml"/>
  <Override PartName="/xl/tables/table7.xml" ContentType="application/vnd.openxmlformats-officedocument.spreadsheetml.table+xml"/>
  <Override PartName="/xl/drawings/drawing8.xml" ContentType="application/vnd.openxmlformats-officedocument.drawing+xml"/>
  <Override PartName="/xl/ctrlProps/ctrlProp9.xml" ContentType="application/vnd.ms-excel.controlproperties+xml"/>
  <Override PartName="/xl/tables/table8.xml" ContentType="application/vnd.openxmlformats-officedocument.spreadsheetml.table+xml"/>
  <Override PartName="/xl/drawings/drawing9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tables/table9.xml" ContentType="application/vnd.openxmlformats-officedocument.spreadsheetml.table+xml"/>
  <Override PartName="/xl/drawings/drawing10.xml" ContentType="application/vnd.openxmlformats-officedocument.drawing+xml"/>
  <Override PartName="/xl/ctrlProps/ctrlProp12.xml" ContentType="application/vnd.ms-excel.controlproperties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/>
  <mc:AlternateContent xmlns:mc="http://schemas.openxmlformats.org/markup-compatibility/2006">
    <mc:Choice Requires="x15">
      <x15ac:absPath xmlns:x15ac="http://schemas.microsoft.com/office/spreadsheetml/2010/11/ac" url="D:\OASK-GTP-2\oask-gtp-webapi-2\json\"/>
    </mc:Choice>
  </mc:AlternateContent>
  <bookViews>
    <workbookView xWindow="-120" yWindow="-120" windowWidth="29040" windowHeight="15840"/>
  </bookViews>
  <sheets>
    <sheet name="db-points" sheetId="1" r:id="rId1"/>
    <sheet name="roles" sheetId="2" r:id="rId2"/>
    <sheet name="di-states" sheetId="3" r:id="rId3"/>
    <sheet name="profiles" sheetId="4" r:id="rId4"/>
    <sheet name="users" sheetId="5" r:id="rId5"/>
    <sheet name="functions" sheetId="7" r:id="rId6"/>
    <sheet name="form1" sheetId="8" r:id="rId7"/>
    <sheet name="table1" sheetId="9" r:id="rId8"/>
    <sheet name="table1 (2)" sheetId="11" r:id="rId9"/>
    <sheet name="Лист3" sheetId="12" r:id="rId10"/>
    <sheet name="ASK2-&gt;API" sheetId="13" r:id="rId11"/>
  </sheets>
  <functionGroups builtInGroupCount="18"/>
  <definedNames>
    <definedName name="_xlnm._FilterDatabase" localSheetId="0" hidden="1">'db-points'!$E$1:$G$173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J407" i="1" l="1"/>
  <c r="J406" i="1"/>
  <c r="J405" i="1"/>
  <c r="J404" i="1"/>
  <c r="J403" i="1"/>
  <c r="J402" i="1"/>
  <c r="J401" i="1"/>
  <c r="J400" i="1"/>
  <c r="J399" i="1"/>
  <c r="J398" i="1"/>
  <c r="J397" i="1"/>
  <c r="J396" i="1"/>
  <c r="J395" i="1"/>
  <c r="J394" i="1"/>
  <c r="J393" i="1"/>
  <c r="J392" i="1"/>
  <c r="J391" i="1"/>
  <c r="L5" i="9" l="1"/>
  <c r="L6" i="9"/>
  <c r="L7" i="9"/>
  <c r="L8" i="9"/>
  <c r="L9" i="9"/>
  <c r="L10" i="9"/>
  <c r="L11" i="9"/>
  <c r="L12" i="9"/>
  <c r="L13" i="9"/>
  <c r="L14" i="9"/>
  <c r="L15" i="9"/>
  <c r="L16" i="9"/>
  <c r="L17" i="9"/>
  <c r="L18" i="9"/>
  <c r="L19" i="9"/>
  <c r="L20" i="9"/>
  <c r="B6" i="9"/>
  <c r="C6" i="9"/>
  <c r="D6" i="9"/>
  <c r="E6" i="9"/>
  <c r="F6" i="9"/>
  <c r="G6" i="9"/>
  <c r="H6" i="9"/>
  <c r="I6" i="9"/>
  <c r="B7" i="9"/>
  <c r="C7" i="9"/>
  <c r="D7" i="9"/>
  <c r="E7" i="9"/>
  <c r="F7" i="9"/>
  <c r="G7" i="9"/>
  <c r="H7" i="9"/>
  <c r="I7" i="9"/>
  <c r="B8" i="9"/>
  <c r="C8" i="9"/>
  <c r="D8" i="9"/>
  <c r="E8" i="9"/>
  <c r="F8" i="9"/>
  <c r="G8" i="9"/>
  <c r="H8" i="9"/>
  <c r="I8" i="9"/>
  <c r="B9" i="9"/>
  <c r="C9" i="9"/>
  <c r="D9" i="9"/>
  <c r="E9" i="9"/>
  <c r="F9" i="9"/>
  <c r="G9" i="9"/>
  <c r="H9" i="9"/>
  <c r="I9" i="9"/>
  <c r="B10" i="9"/>
  <c r="C10" i="9"/>
  <c r="D10" i="9"/>
  <c r="E10" i="9"/>
  <c r="F10" i="9"/>
  <c r="G10" i="9"/>
  <c r="H10" i="9"/>
  <c r="I10" i="9"/>
  <c r="B11" i="9"/>
  <c r="C11" i="9"/>
  <c r="D11" i="9"/>
  <c r="E11" i="9"/>
  <c r="F11" i="9"/>
  <c r="G11" i="9"/>
  <c r="H11" i="9"/>
  <c r="I11" i="9"/>
  <c r="B12" i="9"/>
  <c r="C12" i="9"/>
  <c r="D12" i="9"/>
  <c r="E12" i="9"/>
  <c r="F12" i="9"/>
  <c r="G12" i="9"/>
  <c r="H12" i="9"/>
  <c r="I12" i="9"/>
  <c r="B13" i="9"/>
  <c r="C13" i="9"/>
  <c r="D13" i="9"/>
  <c r="E13" i="9"/>
  <c r="F13" i="9"/>
  <c r="G13" i="9"/>
  <c r="H13" i="9"/>
  <c r="I13" i="9"/>
  <c r="B14" i="9"/>
  <c r="C14" i="9"/>
  <c r="D14" i="9"/>
  <c r="E14" i="9"/>
  <c r="F14" i="9"/>
  <c r="G14" i="9"/>
  <c r="H14" i="9"/>
  <c r="I14" i="9"/>
  <c r="B15" i="9"/>
  <c r="C15" i="9"/>
  <c r="D15" i="9"/>
  <c r="E15" i="9"/>
  <c r="F15" i="9"/>
  <c r="G15" i="9"/>
  <c r="H15" i="9"/>
  <c r="I15" i="9"/>
  <c r="B16" i="9"/>
  <c r="C16" i="9"/>
  <c r="D16" i="9"/>
  <c r="E16" i="9"/>
  <c r="F16" i="9"/>
  <c r="G16" i="9"/>
  <c r="H16" i="9"/>
  <c r="I16" i="9"/>
  <c r="B17" i="9"/>
  <c r="C17" i="9"/>
  <c r="D17" i="9"/>
  <c r="E17" i="9"/>
  <c r="F17" i="9"/>
  <c r="G17" i="9"/>
  <c r="H17" i="9"/>
  <c r="I17" i="9"/>
  <c r="B18" i="9"/>
  <c r="C18" i="9"/>
  <c r="D18" i="9"/>
  <c r="E18" i="9"/>
  <c r="F18" i="9"/>
  <c r="G18" i="9"/>
  <c r="H18" i="9"/>
  <c r="I18" i="9"/>
  <c r="B19" i="9"/>
  <c r="C19" i="9"/>
  <c r="D19" i="9"/>
  <c r="E19" i="9"/>
  <c r="F19" i="9"/>
  <c r="G19" i="9"/>
  <c r="H19" i="9"/>
  <c r="I19" i="9"/>
  <c r="B20" i="9"/>
  <c r="C20" i="9"/>
  <c r="D20" i="9"/>
  <c r="E20" i="9"/>
  <c r="F20" i="9"/>
  <c r="G20" i="9"/>
  <c r="H20" i="9"/>
  <c r="I20" i="9"/>
  <c r="C5" i="9"/>
  <c r="D5" i="9"/>
  <c r="E5" i="9"/>
  <c r="F5" i="9"/>
  <c r="G5" i="9"/>
  <c r="H5" i="9"/>
  <c r="I5" i="9"/>
  <c r="J20" i="9"/>
  <c r="J19" i="9"/>
  <c r="J18" i="9"/>
  <c r="J17" i="9"/>
  <c r="J16" i="9"/>
  <c r="J15" i="9"/>
  <c r="J14" i="9"/>
  <c r="J13" i="9"/>
  <c r="J12" i="9"/>
  <c r="J11" i="9"/>
  <c r="J10" i="9"/>
  <c r="J9" i="9"/>
  <c r="J8" i="9"/>
  <c r="J7" i="9"/>
  <c r="J6" i="9"/>
  <c r="J5" i="9"/>
  <c r="K20" i="9"/>
  <c r="K19" i="9"/>
  <c r="K18" i="9"/>
  <c r="K17" i="9"/>
  <c r="K16" i="9"/>
  <c r="K15" i="9"/>
  <c r="K14" i="9"/>
  <c r="K13" i="9"/>
  <c r="K12" i="9"/>
  <c r="K11" i="9"/>
  <c r="K10" i="9"/>
  <c r="K9" i="9"/>
  <c r="K8" i="9"/>
  <c r="K7" i="9"/>
  <c r="K6" i="9"/>
  <c r="K5" i="9"/>
  <c r="J207" i="1" l="1"/>
  <c r="J206" i="1"/>
  <c r="J221" i="1" l="1"/>
  <c r="J220" i="1"/>
  <c r="J261" i="1" l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251" i="1"/>
  <c r="J252" i="1"/>
  <c r="J253" i="1"/>
  <c r="J254" i="1"/>
  <c r="J255" i="1"/>
  <c r="J256" i="1"/>
  <c r="J257" i="1"/>
  <c r="J258" i="1"/>
  <c r="J259" i="1"/>
  <c r="J260" i="1"/>
  <c r="J242" i="1"/>
  <c r="J243" i="1"/>
  <c r="J244" i="1"/>
  <c r="J245" i="1"/>
  <c r="J246" i="1"/>
  <c r="J247" i="1"/>
  <c r="J248" i="1"/>
  <c r="J249" i="1"/>
  <c r="J250" i="1"/>
  <c r="J231" i="1"/>
  <c r="J232" i="1"/>
  <c r="J233" i="1"/>
  <c r="J234" i="1"/>
  <c r="J235" i="1"/>
  <c r="J236" i="1"/>
  <c r="J237" i="1"/>
  <c r="J238" i="1"/>
  <c r="J239" i="1"/>
  <c r="J240" i="1"/>
  <c r="J241" i="1"/>
  <c r="C9" i="12"/>
  <c r="C10" i="12"/>
  <c r="C11" i="12"/>
  <c r="C12" i="12"/>
  <c r="C13" i="12"/>
  <c r="C14" i="12"/>
  <c r="C15" i="12"/>
  <c r="C16" i="12"/>
  <c r="C17" i="12"/>
  <c r="C18" i="12"/>
  <c r="C19" i="12"/>
  <c r="C20" i="12"/>
  <c r="C21" i="12"/>
  <c r="C22" i="12"/>
  <c r="C23" i="12"/>
  <c r="C24" i="12"/>
  <c r="C25" i="12"/>
  <c r="C26" i="12"/>
  <c r="C27" i="12"/>
  <c r="C28" i="12"/>
  <c r="C29" i="12"/>
  <c r="C30" i="12"/>
  <c r="C31" i="12"/>
  <c r="C32" i="12"/>
  <c r="C33" i="12"/>
  <c r="C34" i="12"/>
  <c r="C35" i="12"/>
  <c r="C36" i="12"/>
  <c r="C3" i="12"/>
  <c r="C4" i="12"/>
  <c r="C5" i="12"/>
  <c r="C6" i="12"/>
  <c r="C7" i="12"/>
  <c r="C8" i="12"/>
  <c r="C2" i="12"/>
  <c r="J196" i="1" l="1"/>
  <c r="J197" i="1"/>
  <c r="J198" i="1"/>
  <c r="J199" i="1"/>
  <c r="J200" i="1"/>
  <c r="J201" i="1"/>
  <c r="J202" i="1"/>
  <c r="J203" i="1"/>
  <c r="J204" i="1"/>
  <c r="J205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2" i="1"/>
  <c r="J223" i="1"/>
  <c r="J224" i="1"/>
  <c r="J225" i="1"/>
  <c r="J226" i="1"/>
  <c r="J227" i="1"/>
  <c r="J228" i="1"/>
  <c r="J229" i="1"/>
  <c r="J230" i="1"/>
  <c r="J195" i="1" l="1"/>
  <c r="J194" i="1"/>
  <c r="J193" i="1"/>
  <c r="J192" i="1"/>
  <c r="J191" i="1"/>
  <c r="J190" i="1"/>
  <c r="J189" i="1"/>
  <c r="J188" i="1"/>
  <c r="J187" i="1"/>
  <c r="J186" i="1"/>
  <c r="J185" i="1"/>
  <c r="J174" i="1"/>
  <c r="J175" i="1"/>
  <c r="J176" i="1"/>
  <c r="J177" i="1"/>
  <c r="J178" i="1"/>
  <c r="J179" i="1"/>
  <c r="J180" i="1"/>
  <c r="J181" i="1"/>
  <c r="J182" i="1"/>
  <c r="J183" i="1"/>
  <c r="J184" i="1"/>
  <c r="J173" i="1" l="1"/>
  <c r="J172" i="1"/>
  <c r="J171" i="1"/>
  <c r="J166" i="1" l="1"/>
  <c r="J167" i="1"/>
  <c r="J168" i="1"/>
  <c r="J169" i="1"/>
  <c r="J170" i="1"/>
  <c r="J165" i="1" l="1"/>
  <c r="J164" i="1"/>
  <c r="J163" i="1"/>
  <c r="J162" i="1"/>
  <c r="J161" i="1"/>
  <c r="J160" i="1"/>
  <c r="A58" i="11" l="1"/>
  <c r="A59" i="11"/>
  <c r="A60" i="11"/>
  <c r="A61" i="11"/>
  <c r="A62" i="11"/>
  <c r="A63" i="11"/>
  <c r="A64" i="11"/>
  <c r="A65" i="11"/>
  <c r="A66" i="11"/>
  <c r="A67" i="11"/>
  <c r="A68" i="11"/>
  <c r="A69" i="11"/>
  <c r="A70" i="11"/>
  <c r="A71" i="11"/>
  <c r="A72" i="11"/>
  <c r="A73" i="11"/>
  <c r="A74" i="11"/>
  <c r="A75" i="11"/>
  <c r="A76" i="11"/>
  <c r="A77" i="11"/>
  <c r="A78" i="11"/>
  <c r="A79" i="11"/>
  <c r="A80" i="11"/>
  <c r="A57" i="11"/>
  <c r="A32" i="11"/>
  <c r="A33" i="11"/>
  <c r="A34" i="11"/>
  <c r="A35" i="11"/>
  <c r="A36" i="11"/>
  <c r="A37" i="11"/>
  <c r="A38" i="11"/>
  <c r="A39" i="11"/>
  <c r="A40" i="11"/>
  <c r="A41" i="11"/>
  <c r="A42" i="11"/>
  <c r="A43" i="11"/>
  <c r="A44" i="11"/>
  <c r="A45" i="11"/>
  <c r="A46" i="11"/>
  <c r="A47" i="11"/>
  <c r="A48" i="11"/>
  <c r="A49" i="11"/>
  <c r="A50" i="11"/>
  <c r="A51" i="11"/>
  <c r="A52" i="11"/>
  <c r="A53" i="11"/>
  <c r="A54" i="11"/>
  <c r="A55" i="11"/>
  <c r="A56" i="11"/>
  <c r="A31" i="11"/>
  <c r="D6" i="11"/>
  <c r="D30" i="11"/>
  <c r="D29" i="11"/>
  <c r="D7" i="11"/>
  <c r="D8" i="11"/>
  <c r="D9" i="11"/>
  <c r="D10" i="11"/>
  <c r="D11" i="11"/>
  <c r="D12" i="11"/>
  <c r="D13" i="11"/>
  <c r="D14" i="11"/>
  <c r="D15" i="11"/>
  <c r="D16" i="11"/>
  <c r="D17" i="11"/>
  <c r="D18" i="11"/>
  <c r="D19" i="11"/>
  <c r="D20" i="11"/>
  <c r="D21" i="11"/>
  <c r="D22" i="11"/>
  <c r="D23" i="11"/>
  <c r="D24" i="11"/>
  <c r="D25" i="11"/>
  <c r="D26" i="11"/>
  <c r="D27" i="11"/>
  <c r="D28" i="11"/>
  <c r="B5" i="9" l="1"/>
  <c r="J4" i="1" l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</calcChain>
</file>

<file path=xl/sharedStrings.xml><?xml version="1.0" encoding="utf-8"?>
<sst xmlns="http://schemas.openxmlformats.org/spreadsheetml/2006/main" count="7007" uniqueCount="722">
  <si>
    <t>full_name</t>
  </si>
  <si>
    <t>name</t>
  </si>
  <si>
    <t>short_name</t>
  </si>
  <si>
    <t>eu</t>
  </si>
  <si>
    <t>min</t>
  </si>
  <si>
    <t>max</t>
  </si>
  <si>
    <t>options</t>
  </si>
  <si>
    <t>0</t>
  </si>
  <si>
    <t>1</t>
  </si>
  <si>
    <t>step</t>
  </si>
  <si>
    <t>func</t>
  </si>
  <si>
    <t>params</t>
  </si>
  <si>
    <t>false</t>
  </si>
  <si>
    <t>0.1</t>
  </si>
  <si>
    <t>_id</t>
  </si>
  <si>
    <t>create_role</t>
  </si>
  <si>
    <t>type</t>
  </si>
  <si>
    <t>number</t>
  </si>
  <si>
    <t>admin</t>
  </si>
  <si>
    <t>set_name</t>
  </si>
  <si>
    <t>kvp</t>
  </si>
  <si>
    <t>{}</t>
  </si>
  <si>
    <t>Стан ПСГ</t>
  </si>
  <si>
    <t>Кран</t>
  </si>
  <si>
    <t>[{'key':'0', 'value':'Нейтр'},{'key':'1', 'value':'Закачка'},{'key':'2', 'value':'Відбор'}]</t>
  </si>
  <si>
    <t>[{'key':'0', 'value':'Закрит'},{'key':'1', 'value':'Відкрит'}]</t>
  </si>
  <si>
    <t>profile</t>
  </si>
  <si>
    <t>Меню для суперюзер</t>
  </si>
  <si>
    <t>login</t>
  </si>
  <si>
    <t>password</t>
  </si>
  <si>
    <t>is_domain</t>
  </si>
  <si>
    <t>1000000</t>
  </si>
  <si>
    <t>ПСГ Дашава Дисп</t>
  </si>
  <si>
    <t>ПСГ Б-Вол-Угерсько Дисп</t>
  </si>
  <si>
    <t>ПСГ Угерсько Дисп</t>
  </si>
  <si>
    <t>ПСГ Пролетарське Дисп</t>
  </si>
  <si>
    <t>ПСГ Олішівське Дисп</t>
  </si>
  <si>
    <t>ПСГ Богородчанське Дисп</t>
  </si>
  <si>
    <t>ПСГ Краснопівське Дисп</t>
  </si>
  <si>
    <t>ПСГ Кегичівське Дисп</t>
  </si>
  <si>
    <t>ПСГ Мринське Дисп</t>
  </si>
  <si>
    <t>ПСГ Дашавське Дисп</t>
  </si>
  <si>
    <t>ПСГ Опарське Дисп</t>
  </si>
  <si>
    <t>ПСГ Олишівське Дисп</t>
  </si>
  <si>
    <t>inter1</t>
  </si>
  <si>
    <t>inter2</t>
  </si>
  <si>
    <t>inter3</t>
  </si>
  <si>
    <t>inter4</t>
  </si>
  <si>
    <t>disp</t>
  </si>
  <si>
    <t>ПСГ Солохівське Дисп</t>
  </si>
  <si>
    <t>3</t>
  </si>
  <si>
    <t>2</t>
  </si>
  <si>
    <t>Густина газу</t>
  </si>
  <si>
    <t>%</t>
  </si>
  <si>
    <t>Опарське ВУПЗГ</t>
  </si>
  <si>
    <t>ПСГ Опарське</t>
  </si>
  <si>
    <t>ФХП</t>
  </si>
  <si>
    <t>°C</t>
  </si>
  <si>
    <r>
      <t>кг/м</t>
    </r>
    <r>
      <rPr>
        <vertAlign val="superscript"/>
        <sz val="11"/>
        <rFont val="Consolas"/>
        <family val="3"/>
        <charset val="204"/>
      </rPr>
      <t>3</t>
    </r>
  </si>
  <si>
    <t>Теплота згоряння вища (при умовах 0/25 °C)</t>
  </si>
  <si>
    <r>
      <t>кВт*год/м</t>
    </r>
    <r>
      <rPr>
        <vertAlign val="superscript"/>
        <sz val="11"/>
        <rFont val="Consolas"/>
        <family val="3"/>
        <charset val="204"/>
      </rPr>
      <t>3</t>
    </r>
  </si>
  <si>
    <t>Теплота згоряння вища (при умовах 20/25 °C)</t>
  </si>
  <si>
    <t>Температура т.р. за вуглеводнями при 3,92 МПа, (норма &lt; 0 °C)</t>
  </si>
  <si>
    <t>Температура т.р. за вологою при 3,92 Мпа, (норма &lt; -8 °C)</t>
  </si>
  <si>
    <t>Метан, мол % (норма &gt; 90)</t>
  </si>
  <si>
    <t>Діоксид вуглецю, мол % (норма &lt; 2)</t>
  </si>
  <si>
    <t>ВОГ ПСГ Опарське (закачка)</t>
  </si>
  <si>
    <t>ВОГ ПСГ Опарське (відбір)</t>
  </si>
  <si>
    <t>ВОГ ПСГ Опарське</t>
  </si>
  <si>
    <r>
      <t>м</t>
    </r>
    <r>
      <rPr>
        <vertAlign val="superscript"/>
        <sz val="11"/>
        <rFont val="Consolas"/>
        <family val="3"/>
        <charset val="204"/>
      </rPr>
      <t>3</t>
    </r>
  </si>
  <si>
    <t>кВт*год</t>
  </si>
  <si>
    <t>ПВВГ</t>
  </si>
  <si>
    <t>Паливний газ, (замір), після ВОГ (закачка)</t>
  </si>
  <si>
    <t>Паливний газ, (замір), після ВОГ (відбір)</t>
  </si>
  <si>
    <t>Паливний газ, (замір), до ВОГ (відбір)</t>
  </si>
  <si>
    <t>Блок ПТПГ, (замір),  після ВОГ (закачка)</t>
  </si>
  <si>
    <t>Блок ПТПГ, (замір),  після ВОГ (відбір)</t>
  </si>
  <si>
    <t>Блок ПТПГ, (замір),  до ВОГ (відбір)</t>
  </si>
  <si>
    <t>Лабораторія, (замір), після ВОГ (закачка)</t>
  </si>
  <si>
    <t>Лабораторія, (замір), після ВОГ (відбір)</t>
  </si>
  <si>
    <t>Лабораторія, (замір), до ВОГ (відбір)</t>
  </si>
  <si>
    <t>УОГ БРД</t>
  </si>
  <si>
    <t>УОГ БРД до ВОГ (закачка)</t>
  </si>
  <si>
    <t>УОГ БРД після ВОГ (відбір)</t>
  </si>
  <si>
    <t>УОГ БРД до ВОГ (відбір)</t>
  </si>
  <si>
    <t>ВТВ</t>
  </si>
  <si>
    <t>ДКС Опари</t>
  </si>
  <si>
    <t>ВОГ Котельня "Unical"</t>
  </si>
  <si>
    <t>ВОГ УППІГ. Загальний замір КЦ-1+2</t>
  </si>
  <si>
    <t>ВОГ ПСГ</t>
  </si>
  <si>
    <t>Котельня, (замір), після ВОГ (закачка)</t>
  </si>
  <si>
    <t>Котельня, (замір), після ВОГ (відбір)</t>
  </si>
  <si>
    <t>Котельня, (замір), до ВОГ (відбір)</t>
  </si>
  <si>
    <t>Їдальня, (замір), після ВОГ (закачка)</t>
  </si>
  <si>
    <t>Їдальня, (замір), після ВОГ (відбір)</t>
  </si>
  <si>
    <t>Їдальня, (замір), до ВОГ (відбір)</t>
  </si>
  <si>
    <t>ВОГ Паливний газ на КЦ-2(3)</t>
  </si>
  <si>
    <t>ВОГ Паливний газ ПТПГ</t>
  </si>
  <si>
    <t>Розрах.СОУ, після ВОГ (закачка)</t>
  </si>
  <si>
    <t>Розрах.СОУ, до ВОГ (закачка)</t>
  </si>
  <si>
    <t>Розрах.СОУ, після ВОГ (відбір)</t>
  </si>
  <si>
    <t>Розрах.СОУ, до ВОГ (відбір)</t>
  </si>
  <si>
    <t>СОУ</t>
  </si>
  <si>
    <t>ВТВ Всього, до ВОГ (закачка)</t>
  </si>
  <si>
    <t>ВТВ Всього, після ВОГ (закачка)</t>
  </si>
  <si>
    <t>ВТВ Всього, до ВОГ (відбір)</t>
  </si>
  <si>
    <t>ВТВ Всього, після ВОГ (відбір)</t>
  </si>
  <si>
    <t>ВТВ Всього</t>
  </si>
  <si>
    <t>ВИРОБНИЧО-ТЕХНОЛОГІЧНІ ВИТРАТИ, всього:</t>
  </si>
  <si>
    <t>Всього</t>
  </si>
  <si>
    <t>Паливний газ на КЦ-1</t>
  </si>
  <si>
    <t>ДКС Опари КЦ-1</t>
  </si>
  <si>
    <t>Лабораторія (КЦ-1)</t>
  </si>
  <si>
    <t>Розрах.СОУ (КЦ-1)</t>
  </si>
  <si>
    <t>Котельня (КЦ-1)</t>
  </si>
  <si>
    <t>Їдальня (КЦ-1)</t>
  </si>
  <si>
    <t>Паливний газ на КЦ-2</t>
  </si>
  <si>
    <t>ДКС Опари КЦ-2</t>
  </si>
  <si>
    <t>паливний газ на роботу ГПА</t>
  </si>
  <si>
    <t>витрати ДКС без паливного газу на роботу ГПА</t>
  </si>
  <si>
    <t>ВТВ допоміжної діяльності</t>
  </si>
  <si>
    <t>ВТВ основної діяльності:</t>
  </si>
  <si>
    <t>витрати ПСГ</t>
  </si>
  <si>
    <t>Їдальня</t>
  </si>
  <si>
    <t>Котельня</t>
  </si>
  <si>
    <t>ВТВ ОД</t>
  </si>
  <si>
    <t>ВТВ ДД</t>
  </si>
  <si>
    <t>ГАЗ в ПЗГ</t>
  </si>
  <si>
    <t>Акт.ГАЗ</t>
  </si>
  <si>
    <t>Блок ПТПГ (КЦ-2)</t>
  </si>
  <si>
    <t>Розрах.СОУ (КЦ-2)</t>
  </si>
  <si>
    <t>Наявність активного газу в ПСГ</t>
  </si>
  <si>
    <t>GCV активного газу в ПСГ</t>
  </si>
  <si>
    <t>Електороенергія</t>
  </si>
  <si>
    <t>Витрати електроенергії</t>
  </si>
  <si>
    <t>Режим</t>
  </si>
  <si>
    <t>Режим роботи ПСГ</t>
  </si>
  <si>
    <t>ПСГ</t>
  </si>
  <si>
    <t>filter_1</t>
  </si>
  <si>
    <t>filter_2</t>
  </si>
  <si>
    <t>filter_3</t>
  </si>
  <si>
    <t>granularity</t>
  </si>
  <si>
    <t>days</t>
  </si>
  <si>
    <t>summ</t>
  </si>
  <si>
    <t>Меню для оператора 1</t>
  </si>
  <si>
    <t>Меню для оператора 2</t>
  </si>
  <si>
    <t>Меню для оператора 3</t>
  </si>
  <si>
    <t>Меню для оператора 4</t>
  </si>
  <si>
    <t>Меню для оператора 5</t>
  </si>
  <si>
    <t>role</t>
  </si>
  <si>
    <t>Administrator</t>
  </si>
  <si>
    <t>I_CentralASK</t>
  </si>
  <si>
    <t>I_Scada</t>
  </si>
  <si>
    <t>I_PlatfSAP</t>
  </si>
  <si>
    <t>I_TOV</t>
  </si>
  <si>
    <t>Шевченко Т.Г.</t>
  </si>
  <si>
    <t>Ст.диспетчер</t>
  </si>
  <si>
    <t>&amp;deg;C</t>
  </si>
  <si>
    <t>&amp;#1084;3</t>
  </si>
  <si>
    <t>select</t>
  </si>
  <si>
    <t>fixed</t>
  </si>
  <si>
    <t>ВТВ Опари, до ВОГ (закачка)</t>
  </si>
  <si>
    <t>ВТВ Опари, після ВОГ (закачка)</t>
  </si>
  <si>
    <t>ВТВ Опари, до ВОГ (відбір)</t>
  </si>
  <si>
    <t>ВТВ Опари, після ВОГ (відбір)</t>
  </si>
  <si>
    <t>T</t>
  </si>
  <si>
    <t>Ro</t>
  </si>
  <si>
    <t>CO2</t>
  </si>
  <si>
    <t>Q</t>
  </si>
  <si>
    <t>GCV</t>
  </si>
  <si>
    <t>E</t>
  </si>
  <si>
    <t>Me</t>
  </si>
  <si>
    <t>4</t>
  </si>
  <si>
    <t>5</t>
  </si>
  <si>
    <t>6</t>
  </si>
  <si>
    <t>7</t>
  </si>
  <si>
    <t>ВТВ ДКС Опари, Паливний газ, (замір), після ВОГ (закачка)</t>
  </si>
  <si>
    <t>ВТВ ДКС Опари, Паливний газ, (замір), після ВОГ (відбір)</t>
  </si>
  <si>
    <t>ВТВ ДКС Опари, Паливний газ, (замір), до ВОГ (відбір)</t>
  </si>
  <si>
    <t>ВТВ ДКС Опари, Блок ПТПГ, (замір),  після ВОГ (закачка)</t>
  </si>
  <si>
    <t>ВТВ ДКС Опари, Блок ПТПГ, (замір),  після ВОГ (відбір)</t>
  </si>
  <si>
    <t>ВТВ ДКС Опари, Блок ПТПГ, (замір),  до ВОГ (відбір)</t>
  </si>
  <si>
    <t>ВТВ ДКС Опари, Лабораторія, після ВОГ (закачка)</t>
  </si>
  <si>
    <t>ВТВ ДКС Опари, Лабораторія, після ВОГ (відбір)</t>
  </si>
  <si>
    <t>ВТВ ДКС Опари, Лабораторія, до ВОГ (відбір)</t>
  </si>
  <si>
    <t>ВТВ ДКС Опари, Розрах.СОУ, після ВОГ (закачка)</t>
  </si>
  <si>
    <t>ВТВ ДКС Опари, Розрах.СОУ, до ВОГ (закачка)</t>
  </si>
  <si>
    <t>ВТВ ДКС Опари, Розрах.СОУ, після ВОГ (відбір)</t>
  </si>
  <si>
    <t>ВТВ ДКС Опари, Розрах.СОУ, до ВОГ (відбір)</t>
  </si>
  <si>
    <t>ВТВ ПСГ Опари, блок осушки газу (РД1...РД3) до ВОГ (закачка)</t>
  </si>
  <si>
    <t>ВТВ ПСГ Опари, блок осушки газу (РД1...РД3) після ВОГ (відбір)</t>
  </si>
  <si>
    <t>ВТВ ПСГ Опари, блок осушки газу (замір), до ВОГ (відбір)</t>
  </si>
  <si>
    <t>ВТВ ПСГ Опари, Розрах.СОУ, після ВОГ (закачка)</t>
  </si>
  <si>
    <t>ВТВ ПСГ Опари, Розрах.СОУ, до ВОГ (закачка)</t>
  </si>
  <si>
    <t>ВТВ ПСГ Опари, Розрах.СОУ, до ВОГ (відбір)</t>
  </si>
  <si>
    <t>ВТВ ДКС Опари, Котельня, (замір), після ВОГ (закачка)</t>
  </si>
  <si>
    <t>ВТВ ДКС Опари, Котельня, (замір), після ВОГ (відбір)</t>
  </si>
  <si>
    <t>ВТВ ДКС Опари, Котельня, (замір), до ВОГ (відбір)</t>
  </si>
  <si>
    <t>ВТВ ДКС Опари, Їдальня, після ВОГ (закачка)</t>
  </si>
  <si>
    <t>ВТВ ДКС Опари, Їдальня, після ВОГ (відбір)</t>
  </si>
  <si>
    <t>ВТВ ДКС Опари, Їдальня, до ВОГ (відбір)</t>
  </si>
  <si>
    <t>8</t>
  </si>
  <si>
    <t>9</t>
  </si>
  <si>
    <t>10</t>
  </si>
  <si>
    <t>[26,38,42]</t>
  </si>
  <si>
    <t>[17,21,24,28,32,35,40,43]</t>
  </si>
  <si>
    <t>[16,20,23,27,31,34,39]</t>
  </si>
  <si>
    <t>[15,19,22,30,33,37,41]</t>
  </si>
  <si>
    <t>[26,38,42,15,19,22,30,33,37,41,17,21,24,28,32,35,40,43,16,20,23,27,31,34,39]</t>
  </si>
  <si>
    <t>filter_4</t>
  </si>
  <si>
    <t>filter_5</t>
  </si>
  <si>
    <t>EE</t>
  </si>
  <si>
    <t>filter_6</t>
  </si>
  <si>
    <t>filter_7</t>
  </si>
  <si>
    <t>закачка</t>
  </si>
  <si>
    <t>відбір</t>
  </si>
  <si>
    <t>до ВОГ</t>
  </si>
  <si>
    <t>після ВОГ</t>
  </si>
  <si>
    <t>Опарське ВУПЗГ.ВТВ Всього.ВТВ.Всього.Q</t>
  </si>
  <si>
    <t>Опарське ВУПЗГ.ПСГ Опарське.ВТВ.Всього.закачка.до ВОГ.Q</t>
  </si>
  <si>
    <t>Опарське ВУПЗГ.ПСГ Опарське.ВТВ.Всього.закачка.після ВОГ.Q</t>
  </si>
  <si>
    <t>Опарське ВУПЗГ.ПСГ Опарське.ВТВ.Всього.відбір.до ВОГ.Q</t>
  </si>
  <si>
    <t>Опарське ВУПЗГ.ПСГ Опарське.ВТВ.Всього.відбір.після ВОГ.Q</t>
  </si>
  <si>
    <t>Опарське ВУПЗГ.ПСГ Опарське.ВТВ.Всього.закачка.до ВОГ.E</t>
  </si>
  <si>
    <t>Опарське ВУПЗГ.ПСГ Опарське.ВТВ.Всього.закачка.після ВОГ.E</t>
  </si>
  <si>
    <t>Опарське ВУПЗГ.ПСГ Опарське.ВТВ.Всього.відбір.до ВОГ.E</t>
  </si>
  <si>
    <t>Опарське ВУПЗГ.ПСГ Опарське.ВТВ.Всього.відбір.після ВОГ.E</t>
  </si>
  <si>
    <t>Опарське ВУПЗГ.ВТВ Всього.ВТВ.Всього.E</t>
  </si>
  <si>
    <t>[65,66,67,69,70,71,72,73,74,76,77,78,80,81,82,83,84,85,87,88,89,90,91,92,93]</t>
  </si>
  <si>
    <t>[66,70,73,77,81,84,89]</t>
  </si>
  <si>
    <t>[67,71,74,78,82,85,90,93]</t>
  </si>
  <si>
    <t>[65,69,72,80,83,87,91]</t>
  </si>
  <si>
    <t>[76,88,92]</t>
  </si>
  <si>
    <t>ВТВ Опари, ВИРОБНИЧО-ТЕХНОЛОГІЧНІ ВИТРАТИ, всього:</t>
  </si>
  <si>
    <t>Q з початку місяця</t>
  </si>
  <si>
    <t>from_1_day</t>
  </si>
  <si>
    <t>E з початку місяця</t>
  </si>
  <si>
    <t>Назва параметру</t>
  </si>
  <si>
    <t>Витрати за добу</t>
  </si>
  <si>
    <t>Факт, м3</t>
  </si>
  <si>
    <t>Факт, кВт*год</t>
  </si>
  <si>
    <t>B</t>
  </si>
  <si>
    <t>C</t>
  </si>
  <si>
    <t>D</t>
  </si>
  <si>
    <t>key</t>
  </si>
  <si>
    <t>ТЗВ(GCV) кВт*год/м3</t>
  </si>
  <si>
    <t>Дата</t>
  </si>
  <si>
    <t>{point:15}</t>
  </si>
  <si>
    <t>{point:65}</t>
  </si>
  <si>
    <t>{point:115}</t>
  </si>
  <si>
    <t>{point:16}</t>
  </si>
  <si>
    <t>{point:66}</t>
  </si>
  <si>
    <t>{point:116}</t>
  </si>
  <si>
    <t>{point:17}</t>
  </si>
  <si>
    <t>{point:67}</t>
  </si>
  <si>
    <t>{point:117}</t>
  </si>
  <si>
    <t>{point:19}</t>
  </si>
  <si>
    <t>{point:69}</t>
  </si>
  <si>
    <t>{point:119}</t>
  </si>
  <si>
    <t>{point:20}</t>
  </si>
  <si>
    <t>{point:70}</t>
  </si>
  <si>
    <t>{point:120}</t>
  </si>
  <si>
    <t>{point:21}</t>
  </si>
  <si>
    <t>{point:71}</t>
  </si>
  <si>
    <t>{point:121}</t>
  </si>
  <si>
    <t>{point:22}</t>
  </si>
  <si>
    <t>{point:72}</t>
  </si>
  <si>
    <t>{point:122}</t>
  </si>
  <si>
    <t>{point:23}</t>
  </si>
  <si>
    <t>{point:73}</t>
  </si>
  <si>
    <t>{point:123}</t>
  </si>
  <si>
    <t>{point:24}</t>
  </si>
  <si>
    <t>{point:74}</t>
  </si>
  <si>
    <t>{point:124}</t>
  </si>
  <si>
    <t>{point:37}</t>
  </si>
  <si>
    <t>{point:87}</t>
  </si>
  <si>
    <t>{point:137}</t>
  </si>
  <si>
    <t>{point:38}</t>
  </si>
  <si>
    <t>{point:88}</t>
  </si>
  <si>
    <t>{point:138}</t>
  </si>
  <si>
    <t>{point:39}</t>
  </si>
  <si>
    <t>{point:89}</t>
  </si>
  <si>
    <t>{point:139}</t>
  </si>
  <si>
    <t>{point:40}</t>
  </si>
  <si>
    <t>{point:90}</t>
  </si>
  <si>
    <t>{point:140}</t>
  </si>
  <si>
    <t>{point:26}</t>
  </si>
  <si>
    <t>{point:76}</t>
  </si>
  <si>
    <t>{point:126}</t>
  </si>
  <si>
    <t>{point:27}</t>
  </si>
  <si>
    <t>{point:77}</t>
  </si>
  <si>
    <t>{point:127}</t>
  </si>
  <si>
    <t>{point:28}</t>
  </si>
  <si>
    <t>{point:78}</t>
  </si>
  <si>
    <t>{point:128}</t>
  </si>
  <si>
    <t>{point:41}</t>
  </si>
  <si>
    <t>{point:91}</t>
  </si>
  <si>
    <t>{point:141}</t>
  </si>
  <si>
    <t>{point:42}</t>
  </si>
  <si>
    <t>{point:92}</t>
  </si>
  <si>
    <t>{point:142}</t>
  </si>
  <si>
    <t>{point:43}</t>
  </si>
  <si>
    <t>{point:93}</t>
  </si>
  <si>
    <t>{point:143}</t>
  </si>
  <si>
    <t>{point:30}</t>
  </si>
  <si>
    <t>{point:80}</t>
  </si>
  <si>
    <t>{point:130}</t>
  </si>
  <si>
    <t>{point:31}</t>
  </si>
  <si>
    <t>{point:81}</t>
  </si>
  <si>
    <t>{point:131}</t>
  </si>
  <si>
    <t>{point:32}</t>
  </si>
  <si>
    <t>{point:82}</t>
  </si>
  <si>
    <t>{point:132}</t>
  </si>
  <si>
    <t>{point:33}</t>
  </si>
  <si>
    <t>{point:83}</t>
  </si>
  <si>
    <t>{point:133}</t>
  </si>
  <si>
    <t>{point:34}</t>
  </si>
  <si>
    <t>{point:84}</t>
  </si>
  <si>
    <t>{point:134}</t>
  </si>
  <si>
    <t>{point:35}</t>
  </si>
  <si>
    <t>{point:85}</t>
  </si>
  <si>
    <t>{point:135}</t>
  </si>
  <si>
    <t>A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</si>
  <si>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</si>
  <si>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</si>
  <si>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</si>
  <si>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</si>
  <si>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</si>
  <si>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</si>
  <si>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</si>
  <si>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</si>
  <si>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</si>
  <si>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</si>
  <si>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</si>
  <si>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R</t>
  </si>
  <si>
    <t>S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</si>
  <si>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</si>
  <si>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</si>
  <si>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</si>
  <si>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</si>
  <si>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</si>
  <si>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</si>
  <si>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</si>
  <si>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</si>
  <si>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</si>
  <si>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</si>
  <si>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</si>
  <si>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</si>
  <si>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</si>
  <si>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</si>
  <si>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</si>
  <si>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</si>
  <si>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</si>
  <si>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</si>
  <si>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</si>
  <si>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</si>
  <si>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</si>
  <si>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</si>
  <si>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AQ</t>
  </si>
  <si>
    <t>AR</t>
  </si>
  <si>
    <t>AS</t>
  </si>
  <si>
    <t>AT</t>
  </si>
  <si>
    <t>AU</t>
  </si>
  <si>
    <t>AV</t>
  </si>
  <si>
    <t>AW</t>
  </si>
  <si>
    <t>AX</t>
  </si>
  <si>
    <t>AY</t>
  </si>
  <si>
    <t>AZ</t>
  </si>
  <si>
    <t>BA</t>
  </si>
  <si>
    <t>BB</t>
  </si>
  <si>
    <t>BC</t>
  </si>
  <si>
    <t>BD</t>
  </si>
  <si>
    <t>BE</t>
  </si>
  <si>
    <t>BF</t>
  </si>
  <si>
    <t>BG</t>
  </si>
  <si>
    <t>BH</t>
  </si>
  <si>
    <t>BI</t>
  </si>
  <si>
    <t>BJ</t>
  </si>
  <si>
    <t>BK</t>
  </si>
  <si>
    <t>BL</t>
  </si>
  <si>
    <t>BM</t>
  </si>
  <si>
    <t>BN</t>
  </si>
  <si>
    <t>BO</t>
  </si>
  <si>
    <t>BP</t>
  </si>
  <si>
    <t>BQ</t>
  </si>
  <si>
    <t>BR</t>
  </si>
  <si>
    <t>BS</t>
  </si>
  <si>
    <t>BT</t>
  </si>
  <si>
    <t>BU</t>
  </si>
  <si>
    <t>BV</t>
  </si>
  <si>
    <t>BW</t>
  </si>
  <si>
    <t>BX</t>
  </si>
  <si>
    <t>filter</t>
  </si>
  <si>
    <t>cell_field</t>
  </si>
  <si>
    <t>value</t>
  </si>
  <si>
    <t>hours</t>
  </si>
  <si>
    <t>Годинні</t>
  </si>
  <si>
    <t>Миттєві</t>
  </si>
  <si>
    <t>&amp;#1084;3/год</t>
  </si>
  <si>
    <t>кгс/см2</t>
  </si>
  <si>
    <r>
      <t>кВт*год/м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</si>
  <si>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t>Загальний замір КЦ-1+2</t>
  </si>
  <si>
    <t>Паливний газ підігрівачів</t>
  </si>
  <si>
    <t>котельня "Unical"</t>
  </si>
  <si>
    <t>ВОГ ВТВ</t>
  </si>
  <si>
    <t>Опарське ВУПЗГ.ПСГ Опарське.ВОГ ПСГ.ФХП.T</t>
  </si>
  <si>
    <t>Опарське ВУПЗГ.ПСГ Опарське.ВОГ ПСГ.ФХП.Ro</t>
  </si>
  <si>
    <t>Опарське ВУПЗГ.ПСГ Опарське.ВОГ ПСГ.ФХП.GCV</t>
  </si>
  <si>
    <t>Опарське ВУПЗГ.ПСГ Опарське.ВОГ ПСГ.ФХП.Me</t>
  </si>
  <si>
    <t>Опарське ВУПЗГ.ПСГ Опарське.ВОГ ПСГ.ФХП.CO2</t>
  </si>
  <si>
    <t>last_day</t>
  </si>
  <si>
    <t>ВТВ Опари. УППІГ. Загальний замір КЦ-1+2</t>
  </si>
  <si>
    <t>ВТВ Опари. Паливний газ ПТПГ</t>
  </si>
  <si>
    <t>ВТВ Опари. УОГ БРД</t>
  </si>
  <si>
    <t>ВТВ Опари. котельня "Unical"</t>
  </si>
  <si>
    <t>ВТВ Опари. Паливний газ на КЦ-2(3)</t>
  </si>
  <si>
    <t>Опарське ВУПЗГ.ДКС Опари.ВТВ.ПВВГ.Q</t>
  </si>
  <si>
    <t>Опарське ВУПЗГ.ДКС Опари.ВТВ.ПВВГ.E</t>
  </si>
  <si>
    <t>Опарське ВУПЗГ.ПСГ Опарське.ВОГ ПСГ.ПВВГ.закачка.Q</t>
  </si>
  <si>
    <t>Опарське ВУПЗГ.ПСГ Опарське.ВОГ ПСГ.ПВВГ.відбір.Q</t>
  </si>
  <si>
    <t>Опарське ВУПЗГ.ПСГ Опарське.ВОГ ПСГ.ПВВГ.Q</t>
  </si>
  <si>
    <t>Опарське ВУПЗГ.ПСГ Опарське.ВОГ ПСГ.ПВВГ.закачка.E</t>
  </si>
  <si>
    <t>Опарське ВУПЗГ.ПСГ Опарське.ВОГ ПСГ.ПВВГ.відбір.E</t>
  </si>
  <si>
    <t>Опарське ВУПЗГ.ПСГ Опарське.ВОГ ПСГ.ПВВГ.E</t>
  </si>
  <si>
    <t>Лінія 1..4</t>
  </si>
  <si>
    <t>Опарське ПСГ з ГТС (МГ Оп. - Уг. Ду 1000)</t>
  </si>
  <si>
    <t>ОТРИМАНО з ГТС України, (Бібрське ЛВУ МГ)</t>
  </si>
  <si>
    <t>ВІДІБРАНО з Опарського ПСГ</t>
  </si>
  <si>
    <t>ПЕРЕДАНО до ГТС України, (Бібрське ЛВУ МГ)</t>
  </si>
  <si>
    <t>Опарське ПСГ до ГТС (МГ Оп.-Уг. Ду 1000)</t>
  </si>
  <si>
    <t>ВТВ основної діяльності: ПСГ Опари</t>
  </si>
  <si>
    <t>паливний газ на роботу ГПА ДКС Опари</t>
  </si>
  <si>
    <t>витрати ДКС Опари без паливного газу на роботу ГПА</t>
  </si>
  <si>
    <t>[15,16,17]</t>
  </si>
  <si>
    <t>витрати ПСГ Опари</t>
  </si>
  <si>
    <t>ВТВ допоміжної діяльності ПСГ Опари</t>
  </si>
  <si>
    <t>Опарське ВУПЗГ.ПСГ Опарське.ВОГ Зведення Q</t>
  </si>
  <si>
    <t>[8,44]</t>
  </si>
  <si>
    <t>ЗАКАЧАНО в Опарське ПСГ</t>
  </si>
  <si>
    <t>[8,-45]</t>
  </si>
  <si>
    <t>[9,46]</t>
  </si>
  <si>
    <t>[9,-47]</t>
  </si>
  <si>
    <t>[15,16,17,19,20,21,22,23,24,37,38,39,40,26,27,28,41,42,43]</t>
  </si>
  <si>
    <t>[30,31,32,33,34,35]</t>
  </si>
  <si>
    <t>[19,20,21,22,23,24,37,38,39,40]</t>
  </si>
  <si>
    <t>[26,27,28,41,42,43]</t>
  </si>
  <si>
    <t>Зведення</t>
  </si>
  <si>
    <t>Опарське ВУПЗГ.ПСГ Опарське.ВОГ Зведення E</t>
  </si>
  <si>
    <t>[11,94]</t>
  </si>
  <si>
    <t>[11,-95]</t>
  </si>
  <si>
    <t>[12,96]</t>
  </si>
  <si>
    <t>[12,-97]</t>
  </si>
  <si>
    <t>[65,66,67,69,70,71,72,73,74,87,88,89,90,76,77,78,91,92,93]</t>
  </si>
  <si>
    <t>[65,66,67]</t>
  </si>
  <si>
    <t>[69,70,71,72,73,74,87,88,89,90]</t>
  </si>
  <si>
    <t>[76,77,78,91,92,93]</t>
  </si>
  <si>
    <t>[80,81,82,83,84,85]</t>
  </si>
  <si>
    <t>Опарське ВУПЗГ.ПСГ Опарське.ГАЗ в ПЗГ.Акт.ГАЗ.Q</t>
  </si>
  <si>
    <t>Опарське ВУПЗГ.ПСГ Опарське.ГАЗ в ПЗГ.Акт.ГАЗ.E</t>
  </si>
  <si>
    <t>active_gas</t>
  </si>
  <si>
    <t>[152, 173, 174]</t>
  </si>
  <si>
    <t>[153, 185, 186]</t>
  </si>
  <si>
    <t>142</t>
  </si>
  <si>
    <t>143</t>
  </si>
  <si>
    <t>ДКС Опари КЦ 1-2</t>
  </si>
  <si>
    <t>Ратм.,мм рт.ст.</t>
  </si>
  <si>
    <t>Рвх</t>
  </si>
  <si>
    <t>Рвих</t>
  </si>
  <si>
    <t>ДКС</t>
  </si>
  <si>
    <t>Твх</t>
  </si>
  <si>
    <t>Твих</t>
  </si>
  <si>
    <t>Тапо</t>
  </si>
  <si>
    <t xml:space="preserve"> Q гпа, тис. м3</t>
  </si>
  <si>
    <t>робота</t>
  </si>
  <si>
    <t>резерв</t>
  </si>
  <si>
    <t>ремонт</t>
  </si>
  <si>
    <t>ГПА</t>
  </si>
  <si>
    <t>ДКС ОПАРИ, КЦ-3</t>
  </si>
  <si>
    <t>Оберти</t>
  </si>
  <si>
    <t>Схема вкл</t>
  </si>
  <si>
    <t>ПСГ ОПАРСЬКЕ</t>
  </si>
  <si>
    <t>загальна</t>
  </si>
  <si>
    <t>у роботі</t>
  </si>
  <si>
    <t>у ремонті</t>
  </si>
  <si>
    <t>у резерві</t>
  </si>
  <si>
    <t>Е</t>
  </si>
  <si>
    <t>шт</t>
  </si>
  <si>
    <t>об/хв</t>
  </si>
  <si>
    <t>Тз.п.,</t>
  </si>
  <si>
    <t>ДКС ОПАРИ, КЦ 1-2 ГМК№2</t>
  </si>
  <si>
    <t>Стан</t>
  </si>
  <si>
    <t>ГМК</t>
  </si>
  <si>
    <t>ДКС ОПАРИ, КЦ 1-2 ГМК№3</t>
  </si>
  <si>
    <t>ДКС ОПАРИ, КЦ 1-2 ГМК№4</t>
  </si>
  <si>
    <t>ДКС ОПАРИ, КЦ 1-2 ГМК№6</t>
  </si>
  <si>
    <t>ДКС ОПАРИ, КЦ 1-2 ГМК№8</t>
  </si>
  <si>
    <t>ДКС ОПАРИ, КЦ 1-2 ГМК№9</t>
  </si>
  <si>
    <t>ДКС ОПАРИ, КЦ 1-2 ГМК№10</t>
  </si>
  <si>
    <t>ДКС ОПАРИ, КЦ 1-2 ГМК№11</t>
  </si>
  <si>
    <t>ДКС ОПАРИ, КЦ 1-2 ГМК№13</t>
  </si>
  <si>
    <t>ДКС ОПАРИ, КЦ 1-2 ГМК№14</t>
  </si>
  <si>
    <t>ДКС ОПАРИ, КЦ 1-2 ГМК№16</t>
  </si>
  <si>
    <t>ДКС ОПАРИ, КЦ 1-2 ГМК№17</t>
  </si>
  <si>
    <t>ДКС ОПАРИ, КЦ-3 ГПА№1</t>
  </si>
  <si>
    <t>ДКС ОПАРИ, КЦ-3 ГПА№2</t>
  </si>
  <si>
    <t>ДКС ОПАРИ, КЦ-3 ГПА№3</t>
  </si>
  <si>
    <t>ДКС ОПАРИ, КЦ-3 ГПА№4</t>
  </si>
  <si>
    <t>Перекачка</t>
  </si>
  <si>
    <t>Відбір/Закачка</t>
  </si>
  <si>
    <t>Т зовн повітря</t>
  </si>
  <si>
    <t>Витрата газу</t>
  </si>
  <si>
    <t>мм рт.ст.</t>
  </si>
  <si>
    <t>од</t>
  </si>
  <si>
    <t>n</t>
  </si>
  <si>
    <t>num</t>
  </si>
  <si>
    <t>ГПА-1</t>
  </si>
  <si>
    <t>ГПА-2</t>
  </si>
  <si>
    <t>ГПА-3</t>
  </si>
  <si>
    <t>ГПА-4</t>
  </si>
  <si>
    <t>ГМК-2</t>
  </si>
  <si>
    <t>ГМК-3</t>
  </si>
  <si>
    <t>ГМК-4</t>
  </si>
  <si>
    <t>ГМК-6</t>
  </si>
  <si>
    <t>ГМК-8</t>
  </si>
  <si>
    <t>ГМК-9</t>
  </si>
  <si>
    <t>ГМК-10</t>
  </si>
  <si>
    <t>ГМК-11</t>
  </si>
  <si>
    <t>ГМК-14</t>
  </si>
  <si>
    <t>ГМК-13</t>
  </si>
  <si>
    <t>ГМК-16</t>
  </si>
  <si>
    <t>ГМК-17</t>
  </si>
  <si>
    <t>e_compression</t>
  </si>
  <si>
    <t>Опарське ВУПЗГ.ДКС Опари КЦ 1-2.Е.ДКС.E</t>
  </si>
  <si>
    <t>Опарське ВУПЗГ.ДКС Опари КЦ 3.Е.ДКС.E</t>
  </si>
  <si>
    <t>Ступінь стиснення</t>
  </si>
  <si>
    <t>[195,196]</t>
  </si>
  <si>
    <t>[207,208]</t>
  </si>
  <si>
    <t>[230,231]</t>
  </si>
  <si>
    <t>[240,241]</t>
  </si>
  <si>
    <t>[250,251]</t>
  </si>
  <si>
    <t>[260,261]</t>
  </si>
  <si>
    <t>[270,271]</t>
  </si>
  <si>
    <t>[280,281]</t>
  </si>
  <si>
    <t>[290,291]</t>
  </si>
  <si>
    <t>[300,301]</t>
  </si>
  <si>
    <t>[310,311]</t>
  </si>
  <si>
    <t>[320,321]</t>
  </si>
  <si>
    <t>[330,331]</t>
  </si>
  <si>
    <t>[340,341]</t>
  </si>
  <si>
    <t>[350,351]</t>
  </si>
  <si>
    <t>[360,361]</t>
  </si>
  <si>
    <t>[370,371]</t>
  </si>
  <si>
    <t>[380,381]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</si>
  <si>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</si>
  <si>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</si>
  <si>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</si>
  <si>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</si>
  <si>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</si>
  <si>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</si>
  <si>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</si>
  <si>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</si>
  <si>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</si>
  <si>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</si>
  <si>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</si>
  <si>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</si>
  <si>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</si>
  <si>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</si>
  <si>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</si>
  <si>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</si>
  <si>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</si>
  <si>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</si>
  <si>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ГПА 1</t>
  </si>
  <si>
    <t>ГПА 2</t>
  </si>
  <si>
    <t>ГПА 3</t>
  </si>
  <si>
    <t>ГПА 4</t>
  </si>
  <si>
    <t>ГПА 5</t>
  </si>
  <si>
    <t>ГПА 6</t>
  </si>
  <si>
    <t>ГПА 7</t>
  </si>
  <si>
    <t>ГПА 8</t>
  </si>
  <si>
    <t>ГПА 9</t>
  </si>
  <si>
    <t>ГПА 10</t>
  </si>
  <si>
    <t>ГПА 11</t>
  </si>
  <si>
    <t>ГПА 12</t>
  </si>
  <si>
    <t>ГПА 13</t>
  </si>
  <si>
    <t>ГПА 14</t>
  </si>
  <si>
    <t>ГПА 15</t>
  </si>
  <si>
    <t>ГПА 16</t>
  </si>
  <si>
    <t>[357,367,377,387]</t>
  </si>
  <si>
    <t>rotate_compressor_avg_kc</t>
  </si>
  <si>
    <t>Середні обороти КЦ-3</t>
  </si>
  <si>
    <t>ДКС ОПАРИ, КЦ 3 ГПА№1-4 середні</t>
  </si>
  <si>
    <t>162</t>
  </si>
  <si>
    <t>line_name</t>
  </si>
  <si>
    <t>ask_id</t>
  </si>
  <si>
    <t>ask_par</t>
  </si>
  <si>
    <t>point</t>
  </si>
  <si>
    <t>if_point</t>
  </si>
  <si>
    <t>if_value</t>
  </si>
  <si>
    <t>ПВВГ Опари. Лінія 1..4 (ВОГ псг)</t>
  </si>
  <si>
    <t>Лінія 1</t>
  </si>
  <si>
    <t>Лінія 2</t>
  </si>
  <si>
    <t>Лінія 3</t>
  </si>
  <si>
    <t>Лінія 4</t>
  </si>
  <si>
    <t>DP</t>
  </si>
  <si>
    <t>кгс/м2</t>
  </si>
  <si>
    <t>[15]</t>
  </si>
  <si>
    <t>[16]</t>
  </si>
  <si>
    <t>[17]</t>
  </si>
  <si>
    <t>[19]</t>
  </si>
  <si>
    <t>[20]</t>
  </si>
  <si>
    <t>[21]</t>
  </si>
  <si>
    <t>[22]</t>
  </si>
  <si>
    <t>[23]</t>
  </si>
  <si>
    <t>[24]</t>
  </si>
  <si>
    <t>[37]</t>
  </si>
  <si>
    <t>[38]</t>
  </si>
  <si>
    <t>[39]</t>
  </si>
  <si>
    <t>[40]</t>
  </si>
  <si>
    <t>[26]</t>
  </si>
  <si>
    <t>[27]</t>
  </si>
  <si>
    <t>[28]</t>
  </si>
  <si>
    <t>[41]</t>
  </si>
  <si>
    <t>[42]</t>
  </si>
  <si>
    <t>[43]</t>
  </si>
  <si>
    <t>[30]</t>
  </si>
  <si>
    <t>[31]</t>
  </si>
  <si>
    <t>[32]</t>
  </si>
  <si>
    <t>[33]</t>
  </si>
  <si>
    <t>[34]</t>
  </si>
  <si>
    <t>[35]</t>
  </si>
  <si>
    <t>[56]</t>
  </si>
  <si>
    <t>[44]</t>
  </si>
  <si>
    <t>[45]</t>
  </si>
  <si>
    <t>[46]</t>
  </si>
  <si>
    <t>[47]</t>
  </si>
  <si>
    <t>[65]</t>
  </si>
  <si>
    <t>[66]</t>
  </si>
  <si>
    <t>[67]</t>
  </si>
  <si>
    <t>[69]</t>
  </si>
  <si>
    <t>[70]</t>
  </si>
  <si>
    <t>[71]</t>
  </si>
  <si>
    <t>[72]</t>
  </si>
  <si>
    <t>[73]</t>
  </si>
  <si>
    <t>[74]</t>
  </si>
  <si>
    <t>[87]</t>
  </si>
  <si>
    <t>[88]</t>
  </si>
  <si>
    <t>[89]</t>
  </si>
  <si>
    <t>[90]</t>
  </si>
  <si>
    <t>[76]</t>
  </si>
  <si>
    <t>[77]</t>
  </si>
  <si>
    <t>[78]</t>
  </si>
  <si>
    <t>[91]</t>
  </si>
  <si>
    <t>[92]</t>
  </si>
  <si>
    <t>[93]</t>
  </si>
  <si>
    <t>[80]</t>
  </si>
  <si>
    <t>[81]</t>
  </si>
  <si>
    <t>[82]</t>
  </si>
  <si>
    <t>[83]</t>
  </si>
  <si>
    <t>[84]</t>
  </si>
  <si>
    <t>[85]</t>
  </si>
  <si>
    <t>[106]</t>
  </si>
  <si>
    <t>[94]</t>
  </si>
  <si>
    <t>[95]</t>
  </si>
  <si>
    <t>[96]</t>
  </si>
  <si>
    <t>[97]</t>
  </si>
  <si>
    <t>[1]</t>
  </si>
  <si>
    <t>[2]</t>
  </si>
  <si>
    <t>[3]</t>
  </si>
  <si>
    <t>[4]</t>
  </si>
  <si>
    <t>[5]</t>
  </si>
  <si>
    <t>[6]</t>
  </si>
  <si>
    <t>[7]</t>
  </si>
  <si>
    <t>[14]</t>
  </si>
  <si>
    <t>[18]</t>
  </si>
  <si>
    <t>[25]</t>
  </si>
  <si>
    <t>[29]</t>
  </si>
  <si>
    <t>[64]</t>
  </si>
  <si>
    <t>[68]</t>
  </si>
  <si>
    <t>[75]</t>
  </si>
  <si>
    <t>[79]</t>
  </si>
  <si>
    <t>[8]</t>
  </si>
  <si>
    <t>[9]</t>
  </si>
  <si>
    <t>[10]</t>
  </si>
  <si>
    <t>[11]</t>
  </si>
  <si>
    <t>[12]</t>
  </si>
  <si>
    <t>[13]</t>
  </si>
  <si>
    <t>[171]</t>
  </si>
  <si>
    <t>[172]</t>
  </si>
  <si>
    <t>[173]</t>
  </si>
  <si>
    <t>[174]</t>
  </si>
  <si>
    <t>[175]</t>
  </si>
  <si>
    <t>[176]</t>
  </si>
  <si>
    <t>[178]</t>
  </si>
  <si>
    <t>[179]</t>
  </si>
  <si>
    <t>[180]</t>
  </si>
  <si>
    <t>[181]</t>
  </si>
  <si>
    <t>[182]</t>
  </si>
  <si>
    <t>[183]</t>
  </si>
  <si>
    <t>[184]</t>
  </si>
  <si>
    <t>[185]</t>
  </si>
  <si>
    <t>[186]</t>
  </si>
  <si>
    <t>[187]</t>
  </si>
  <si>
    <t>[188]</t>
  </si>
  <si>
    <t>[190]</t>
  </si>
  <si>
    <t>[191]</t>
  </si>
  <si>
    <t>[192]</t>
  </si>
  <si>
    <t>[193]</t>
  </si>
  <si>
    <t>[194]</t>
  </si>
  <si>
    <t>Кількість в роботі</t>
  </si>
  <si>
    <t>calcGpaInWork</t>
  </si>
  <si>
    <t>[359, 369, 379, 389]</t>
  </si>
  <si>
    <t>Кількість в резері</t>
  </si>
  <si>
    <t>Кількість в ремонті</t>
  </si>
  <si>
    <t>calcGpaInReserve</t>
  </si>
  <si>
    <t>calcGpaInRemont</t>
  </si>
  <si>
    <t>ДКС ОПАРИ, КЦ 3 ГПА№1</t>
  </si>
  <si>
    <t>ДКС ОПАРИ, КЦ 3 ГПА№2</t>
  </si>
  <si>
    <t>ДКС ОПАРИ, КЦ 3 ГПА№3</t>
  </si>
  <si>
    <t>ДКС ОПАРИ, КЦ 3 ГПА№4</t>
  </si>
  <si>
    <t>ДКС ОПАРИ, КЦ 3 ГПА№1-4</t>
  </si>
  <si>
    <t>ДКС ОПАРИ, КЦ 1-2 ГМК№1-16</t>
  </si>
  <si>
    <t>[239, 249, 259, 269, 279, 289, 299, 309, 319, 329, 339, 349]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</si>
</sst>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b/>
      <sz val="11"/>
      <name val="Consolas"/>
      <family val="3"/>
      <charset val="204"/>
    </font>
    <font>
      <sz val="11"/>
      <name val="Consolas"/>
      <family val="3"/>
      <charset val="204"/>
    </font>
    <font>
      <sz val="11"/>
      <name val="Consolas"/>
      <family val="3"/>
      <charset val="204"/>
    </font>
    <font>
      <b/>
      <sz val="11"/>
      <name val="Consolas"/>
      <family val="3"/>
      <charset val="204"/>
    </font>
    <font>
      <vertAlign val="superscript"/>
      <sz val="11"/>
      <name val="Consolas"/>
      <family val="3"/>
      <charset val="204"/>
    </font>
    <font>
      <b/>
      <sz val="11"/>
      <color theme="1"/>
      <name val="Calibri"/>
      <family val="2"/>
      <charset val="204"/>
      <scheme val="minor"/>
    </font>
    <font>
      <b/>
      <sz val="11"/>
      <name val="Calibri"/>
      <family val="2"/>
      <charset val="204"/>
    </font>
    <font>
      <vertAlign val="superscript"/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b/>
      <sz val="11"/>
      <color theme="0"/>
      <name val="Consolas"/>
      <family val="3"/>
      <charset val="204"/>
    </font>
  </fonts>
  <fills count="1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33CCFF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theme="4" tint="0.79998168889431442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theme="4" tint="0.79998168889431442"/>
      </patternFill>
    </fill>
    <fill>
      <patternFill patternType="solid">
        <fgColor theme="9" tint="0.79998168889431442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indexed="64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theme="4" tint="0.39997558519241921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/>
      <bottom/>
      <diagonal/>
    </border>
  </borders>
  <cellStyleXfs count="1">
    <xf numFmtId="0" fontId="0" fillId="0" borderId="0"/>
  </cellStyleXfs>
  <cellXfs count="146">
    <xf numFmtId="0" fontId="0" fillId="0" borderId="0" xfId="0"/>
    <xf numFmtId="49" fontId="3" fillId="0" borderId="1" xfId="0" applyNumberFormat="1" applyFont="1" applyBorder="1" applyAlignment="1">
      <alignment vertical="center"/>
    </xf>
    <xf numFmtId="0" fontId="0" fillId="0" borderId="2" xfId="0" applyFill="1" applyBorder="1"/>
    <xf numFmtId="0" fontId="2" fillId="0" borderId="3" xfId="0" applyFont="1" applyFill="1" applyBorder="1" applyAlignment="1">
      <alignment vertical="center"/>
    </xf>
    <xf numFmtId="0" fontId="2" fillId="0" borderId="4" xfId="0" applyFont="1" applyBorder="1" applyAlignment="1">
      <alignment vertical="center"/>
    </xf>
    <xf numFmtId="0" fontId="0" fillId="0" borderId="5" xfId="0" applyFill="1" applyBorder="1"/>
    <xf numFmtId="49" fontId="3" fillId="0" borderId="6" xfId="0" applyNumberFormat="1" applyFont="1" applyBorder="1" applyAlignment="1">
      <alignment vertical="center"/>
    </xf>
    <xf numFmtId="49" fontId="4" fillId="0" borderId="6" xfId="0" applyNumberFormat="1" applyFont="1" applyBorder="1" applyAlignment="1">
      <alignment vertical="center"/>
    </xf>
    <xf numFmtId="0" fontId="2" fillId="0" borderId="7" xfId="0" applyFont="1" applyFill="1" applyBorder="1" applyAlignment="1">
      <alignment vertical="center"/>
    </xf>
    <xf numFmtId="0" fontId="2" fillId="0" borderId="8" xfId="0" applyFont="1" applyBorder="1" applyAlignment="1">
      <alignment vertical="center"/>
    </xf>
    <xf numFmtId="0" fontId="0" fillId="0" borderId="1" xfId="0" applyFill="1" applyBorder="1"/>
    <xf numFmtId="0" fontId="3" fillId="0" borderId="1" xfId="0" applyFont="1" applyBorder="1" applyAlignment="1">
      <alignment vertical="center"/>
    </xf>
    <xf numFmtId="49" fontId="4" fillId="0" borderId="1" xfId="0" applyNumberFormat="1" applyFont="1" applyBorder="1" applyAlignment="1">
      <alignment vertical="center"/>
    </xf>
    <xf numFmtId="0" fontId="4" fillId="0" borderId="1" xfId="0" applyFont="1" applyBorder="1" applyAlignment="1">
      <alignment vertical="center"/>
    </xf>
    <xf numFmtId="0" fontId="0" fillId="0" borderId="6" xfId="0" applyFill="1" applyBorder="1"/>
    <xf numFmtId="0" fontId="4" fillId="0" borderId="6" xfId="0" applyFont="1" applyBorder="1" applyAlignment="1">
      <alignment vertical="center"/>
    </xf>
    <xf numFmtId="0" fontId="0" fillId="0" borderId="0" xfId="0" applyFill="1" applyBorder="1"/>
    <xf numFmtId="0" fontId="2" fillId="0" borderId="9" xfId="0" applyFont="1" applyBorder="1" applyAlignment="1">
      <alignment vertical="center"/>
    </xf>
    <xf numFmtId="0" fontId="5" fillId="0" borderId="8" xfId="0" applyFont="1" applyBorder="1" applyAlignment="1">
      <alignment vertical="center"/>
    </xf>
    <xf numFmtId="49" fontId="3" fillId="0" borderId="0" xfId="0" applyNumberFormat="1" applyFont="1" applyFill="1" applyBorder="1" applyAlignment="1">
      <alignment vertical="center"/>
    </xf>
    <xf numFmtId="49" fontId="4" fillId="0" borderId="0" xfId="0" applyNumberFormat="1" applyFont="1" applyFill="1" applyBorder="1" applyAlignment="1">
      <alignment vertical="center"/>
    </xf>
    <xf numFmtId="0" fontId="0" fillId="0" borderId="0" xfId="0" applyFill="1"/>
    <xf numFmtId="49" fontId="4" fillId="0" borderId="0" xfId="0" applyNumberFormat="1" applyFont="1" applyFill="1" applyAlignment="1">
      <alignment vertical="center"/>
    </xf>
    <xf numFmtId="49" fontId="3" fillId="0" borderId="0" xfId="0" applyNumberFormat="1" applyFont="1" applyFill="1" applyAlignment="1">
      <alignment vertical="center"/>
    </xf>
    <xf numFmtId="49" fontId="2" fillId="2" borderId="0" xfId="0" applyNumberFormat="1" applyFont="1" applyFill="1" applyBorder="1" applyAlignment="1">
      <alignment vertical="center"/>
    </xf>
    <xf numFmtId="0" fontId="0" fillId="0" borderId="11" xfId="0" applyFont="1" applyBorder="1"/>
    <xf numFmtId="0" fontId="0" fillId="3" borderId="11" xfId="0" applyFont="1" applyFill="1" applyBorder="1"/>
    <xf numFmtId="49" fontId="3" fillId="4" borderId="0" xfId="0" applyNumberFormat="1" applyFont="1" applyFill="1" applyBorder="1" applyAlignment="1">
      <alignment vertical="center"/>
    </xf>
    <xf numFmtId="49" fontId="4" fillId="4" borderId="0" xfId="0" applyNumberFormat="1" applyFont="1" applyFill="1" applyBorder="1" applyAlignment="1">
      <alignment vertical="center"/>
    </xf>
    <xf numFmtId="0" fontId="0" fillId="4" borderId="0" xfId="0" applyFill="1"/>
    <xf numFmtId="0" fontId="0" fillId="4" borderId="11" xfId="0" applyFont="1" applyFill="1" applyBorder="1"/>
    <xf numFmtId="0" fontId="0" fillId="3" borderId="10" xfId="0" applyFont="1" applyFill="1" applyBorder="1"/>
    <xf numFmtId="49" fontId="3" fillId="3" borderId="10" xfId="0" applyNumberFormat="1" applyFont="1" applyFill="1" applyBorder="1" applyAlignment="1">
      <alignment vertical="center"/>
    </xf>
    <xf numFmtId="0" fontId="0" fillId="0" borderId="10" xfId="0" applyFont="1" applyBorder="1"/>
    <xf numFmtId="49" fontId="3" fillId="0" borderId="10" xfId="0" applyNumberFormat="1" applyFont="1" applyBorder="1" applyAlignment="1">
      <alignment vertical="center"/>
    </xf>
    <xf numFmtId="49" fontId="3" fillId="5" borderId="1" xfId="0" applyNumberFormat="1" applyFont="1" applyFill="1" applyBorder="1" applyAlignment="1">
      <alignment vertical="center"/>
    </xf>
    <xf numFmtId="0" fontId="7" fillId="2" borderId="1" xfId="0" applyFont="1" applyFill="1" applyBorder="1"/>
    <xf numFmtId="0" fontId="0" fillId="0" borderId="14" xfId="0" applyFont="1" applyBorder="1"/>
    <xf numFmtId="49" fontId="3" fillId="0" borderId="14" xfId="0" applyNumberFormat="1" applyFont="1" applyBorder="1" applyAlignment="1">
      <alignment vertical="center"/>
    </xf>
    <xf numFmtId="0" fontId="3" fillId="0" borderId="0" xfId="0" applyNumberFormat="1" applyFont="1" applyFill="1" applyAlignment="1">
      <alignment vertical="center"/>
    </xf>
    <xf numFmtId="0" fontId="3" fillId="3" borderId="12" xfId="0" applyNumberFormat="1" applyFont="1" applyFill="1" applyBorder="1" applyAlignment="1">
      <alignment vertical="center"/>
    </xf>
    <xf numFmtId="0" fontId="0" fillId="0" borderId="13" xfId="0" applyFont="1" applyBorder="1"/>
    <xf numFmtId="0" fontId="0" fillId="7" borderId="0" xfId="0" applyFill="1"/>
    <xf numFmtId="0" fontId="8" fillId="8" borderId="1" xfId="0" applyFont="1" applyFill="1" applyBorder="1" applyAlignment="1">
      <alignment horizontal="center" vertical="center"/>
    </xf>
    <xf numFmtId="0" fontId="0" fillId="0" borderId="1" xfId="0" applyBorder="1"/>
    <xf numFmtId="0" fontId="0" fillId="0" borderId="2" xfId="0" applyNumberFormat="1" applyBorder="1"/>
    <xf numFmtId="0" fontId="0" fillId="3" borderId="2" xfId="0" applyNumberFormat="1" applyFont="1" applyFill="1" applyBorder="1"/>
    <xf numFmtId="0" fontId="0" fillId="0" borderId="2" xfId="0" applyNumberFormat="1" applyFont="1" applyBorder="1"/>
    <xf numFmtId="0" fontId="8" fillId="0" borderId="1" xfId="0" applyFont="1" applyFill="1" applyBorder="1" applyAlignment="1">
      <alignment horizontal="center" vertical="center"/>
    </xf>
    <xf numFmtId="0" fontId="8" fillId="0" borderId="21" xfId="0" applyFont="1" applyFill="1" applyBorder="1" applyAlignment="1">
      <alignment horizontal="center" vertical="center"/>
    </xf>
    <xf numFmtId="0" fontId="7" fillId="0" borderId="17" xfId="0" applyFont="1" applyBorder="1"/>
    <xf numFmtId="0" fontId="7" fillId="0" borderId="0" xfId="0" applyFont="1"/>
    <xf numFmtId="0" fontId="0" fillId="3" borderId="1" xfId="0" applyNumberFormat="1" applyFont="1" applyFill="1" applyBorder="1"/>
    <xf numFmtId="0" fontId="0" fillId="0" borderId="1" xfId="0" applyNumberFormat="1" applyFont="1" applyBorder="1"/>
    <xf numFmtId="49" fontId="3" fillId="0" borderId="10" xfId="0" applyNumberFormat="1" applyFont="1" applyFill="1" applyBorder="1" applyAlignment="1">
      <alignment vertical="center"/>
    </xf>
    <xf numFmtId="0" fontId="0" fillId="3" borderId="25" xfId="0" applyFont="1" applyFill="1" applyBorder="1"/>
    <xf numFmtId="0" fontId="0" fillId="3" borderId="15" xfId="0" applyFont="1" applyFill="1" applyBorder="1"/>
    <xf numFmtId="49" fontId="3" fillId="3" borderId="15" xfId="0" applyNumberFormat="1" applyFont="1" applyFill="1" applyBorder="1" applyAlignment="1">
      <alignment vertical="center"/>
    </xf>
    <xf numFmtId="0" fontId="0" fillId="3" borderId="26" xfId="0" applyFont="1" applyFill="1" applyBorder="1"/>
    <xf numFmtId="0" fontId="0" fillId="0" borderId="25" xfId="0" applyFont="1" applyBorder="1"/>
    <xf numFmtId="0" fontId="0" fillId="0" borderId="15" xfId="0" applyFont="1" applyBorder="1"/>
    <xf numFmtId="49" fontId="3" fillId="0" borderId="15" xfId="0" applyNumberFormat="1" applyFont="1" applyBorder="1" applyAlignment="1">
      <alignment vertical="center"/>
    </xf>
    <xf numFmtId="0" fontId="3" fillId="0" borderId="27" xfId="0" applyFont="1" applyBorder="1" applyAlignment="1">
      <alignment vertical="center"/>
    </xf>
    <xf numFmtId="0" fontId="3" fillId="3" borderId="27" xfId="0" applyFont="1" applyFill="1" applyBorder="1" applyAlignment="1">
      <alignment vertical="center"/>
    </xf>
    <xf numFmtId="49" fontId="3" fillId="3" borderId="27" xfId="0" applyNumberFormat="1" applyFont="1" applyFill="1" applyBorder="1" applyAlignment="1">
      <alignment vertical="center"/>
    </xf>
    <xf numFmtId="49" fontId="3" fillId="0" borderId="27" xfId="0" applyNumberFormat="1" applyFont="1" applyBorder="1" applyAlignment="1">
      <alignment vertical="center"/>
    </xf>
    <xf numFmtId="0" fontId="3" fillId="3" borderId="27" xfId="0" applyNumberFormat="1" applyFont="1" applyFill="1" applyBorder="1" applyAlignment="1">
      <alignment vertical="center"/>
    </xf>
    <xf numFmtId="0" fontId="0" fillId="0" borderId="28" xfId="0" applyFont="1" applyBorder="1"/>
    <xf numFmtId="0" fontId="3" fillId="0" borderId="27" xfId="0" applyNumberFormat="1" applyFont="1" applyBorder="1" applyAlignment="1">
      <alignment vertical="center"/>
    </xf>
    <xf numFmtId="0" fontId="0" fillId="3" borderId="28" xfId="0" applyFont="1" applyFill="1" applyBorder="1"/>
    <xf numFmtId="49" fontId="3" fillId="7" borderId="15" xfId="0" applyNumberFormat="1" applyFont="1" applyFill="1" applyBorder="1" applyAlignment="1">
      <alignment vertical="center"/>
    </xf>
    <xf numFmtId="49" fontId="3" fillId="7" borderId="27" xfId="0" applyNumberFormat="1" applyFont="1" applyFill="1" applyBorder="1" applyAlignment="1">
      <alignment vertical="center"/>
    </xf>
    <xf numFmtId="0" fontId="0" fillId="0" borderId="29" xfId="0" applyFont="1" applyBorder="1"/>
    <xf numFmtId="49" fontId="3" fillId="0" borderId="29" xfId="0" applyNumberFormat="1" applyFont="1" applyBorder="1" applyAlignment="1">
      <alignment vertical="center"/>
    </xf>
    <xf numFmtId="0" fontId="2" fillId="9" borderId="24" xfId="0" applyFont="1" applyFill="1" applyBorder="1" applyAlignment="1">
      <alignment vertical="center"/>
    </xf>
    <xf numFmtId="0" fontId="2" fillId="9" borderId="9" xfId="0" applyFont="1" applyFill="1" applyBorder="1" applyAlignment="1">
      <alignment vertical="center"/>
    </xf>
    <xf numFmtId="0" fontId="2" fillId="9" borderId="30" xfId="0" applyFont="1" applyFill="1" applyBorder="1" applyAlignment="1">
      <alignment vertical="center"/>
    </xf>
    <xf numFmtId="0" fontId="0" fillId="0" borderId="8" xfId="0" applyFill="1" applyBorder="1"/>
    <xf numFmtId="0" fontId="8" fillId="8" borderId="4" xfId="0" applyFont="1" applyFill="1" applyBorder="1" applyAlignment="1">
      <alignment horizontal="center" vertical="center"/>
    </xf>
    <xf numFmtId="0" fontId="7" fillId="8" borderId="6" xfId="0" applyFont="1" applyFill="1" applyBorder="1" applyAlignment="1">
      <alignment horizontal="center"/>
    </xf>
    <xf numFmtId="49" fontId="3" fillId="3" borderId="1" xfId="0" applyNumberFormat="1" applyFont="1" applyFill="1" applyBorder="1" applyAlignment="1">
      <alignment vertical="center"/>
    </xf>
    <xf numFmtId="0" fontId="0" fillId="0" borderId="1" xfId="0" applyFont="1" applyBorder="1"/>
    <xf numFmtId="0" fontId="0" fillId="3" borderId="1" xfId="0" applyFont="1" applyFill="1" applyBorder="1"/>
    <xf numFmtId="0" fontId="4" fillId="0" borderId="0" xfId="0" applyNumberFormat="1" applyFont="1" applyFill="1" applyAlignment="1">
      <alignment vertical="center"/>
    </xf>
    <xf numFmtId="0" fontId="3" fillId="0" borderId="1" xfId="0" applyNumberFormat="1" applyFont="1" applyBorder="1" applyAlignment="1">
      <alignment vertical="center"/>
    </xf>
    <xf numFmtId="0" fontId="3" fillId="3" borderId="1" xfId="0" applyNumberFormat="1" applyFont="1" applyFill="1" applyBorder="1" applyAlignment="1">
      <alignment vertical="center"/>
    </xf>
    <xf numFmtId="0" fontId="0" fillId="10" borderId="1" xfId="0" applyFill="1" applyBorder="1"/>
    <xf numFmtId="49" fontId="3" fillId="10" borderId="1" xfId="0" applyNumberFormat="1" applyFont="1" applyFill="1" applyBorder="1" applyAlignment="1">
      <alignment vertical="center"/>
    </xf>
    <xf numFmtId="0" fontId="0" fillId="10" borderId="6" xfId="0" applyFill="1" applyBorder="1"/>
    <xf numFmtId="49" fontId="3" fillId="10" borderId="6" xfId="0" applyNumberFormat="1" applyFont="1" applyFill="1" applyBorder="1" applyAlignment="1">
      <alignment vertical="center"/>
    </xf>
    <xf numFmtId="49" fontId="3" fillId="0" borderId="1" xfId="0" applyNumberFormat="1" applyFont="1" applyFill="1" applyBorder="1" applyAlignment="1">
      <alignment vertical="center"/>
    </xf>
    <xf numFmtId="49" fontId="3" fillId="7" borderId="1" xfId="0" applyNumberFormat="1" applyFont="1" applyFill="1" applyBorder="1" applyAlignment="1">
      <alignment vertical="center"/>
    </xf>
    <xf numFmtId="0" fontId="10" fillId="12" borderId="1" xfId="0" applyFont="1" applyFill="1" applyBorder="1" applyAlignment="1">
      <alignment horizontal="left" vertical="center"/>
    </xf>
    <xf numFmtId="0" fontId="0" fillId="0" borderId="0" xfId="0" applyAlignment="1">
      <alignment horizontal="left"/>
    </xf>
    <xf numFmtId="0" fontId="10" fillId="11" borderId="1" xfId="0" applyFont="1" applyFill="1" applyBorder="1" applyAlignment="1">
      <alignment horizontal="left" vertical="center"/>
    </xf>
    <xf numFmtId="0" fontId="10" fillId="13" borderId="1" xfId="0" applyFont="1" applyFill="1" applyBorder="1" applyAlignment="1">
      <alignment horizontal="left" vertical="center"/>
    </xf>
    <xf numFmtId="0" fontId="0" fillId="0" borderId="1" xfId="0" applyBorder="1" applyAlignment="1">
      <alignment horizontal="left"/>
    </xf>
    <xf numFmtId="0" fontId="0" fillId="14" borderId="1" xfId="0" applyFont="1" applyFill="1" applyBorder="1"/>
    <xf numFmtId="0" fontId="0" fillId="15" borderId="1" xfId="0" applyFill="1" applyBorder="1"/>
    <xf numFmtId="0" fontId="10" fillId="15" borderId="1" xfId="0" applyFont="1" applyFill="1" applyBorder="1" applyAlignment="1">
      <alignment horizontal="left" vertical="center"/>
    </xf>
    <xf numFmtId="49" fontId="3" fillId="15" borderId="1" xfId="0" applyNumberFormat="1" applyFont="1" applyFill="1" applyBorder="1" applyAlignment="1">
      <alignment vertical="center"/>
    </xf>
    <xf numFmtId="0" fontId="0" fillId="15" borderId="0" xfId="0" applyFill="1"/>
    <xf numFmtId="0" fontId="3" fillId="15" borderId="0" xfId="0" applyNumberFormat="1" applyFont="1" applyFill="1" applyAlignment="1">
      <alignment vertical="center"/>
    </xf>
    <xf numFmtId="49" fontId="3" fillId="15" borderId="0" xfId="0" applyNumberFormat="1" applyFont="1" applyFill="1" applyBorder="1" applyAlignment="1">
      <alignment vertical="center"/>
    </xf>
    <xf numFmtId="49" fontId="4" fillId="15" borderId="0" xfId="0" applyNumberFormat="1" applyFont="1" applyFill="1" applyBorder="1" applyAlignment="1">
      <alignment vertical="center"/>
    </xf>
    <xf numFmtId="49" fontId="3" fillId="15" borderId="0" xfId="0" applyNumberFormat="1" applyFont="1" applyFill="1" applyAlignment="1">
      <alignment vertical="center"/>
    </xf>
    <xf numFmtId="49" fontId="2" fillId="15" borderId="0" xfId="0" applyNumberFormat="1" applyFont="1" applyFill="1" applyBorder="1" applyAlignment="1">
      <alignment vertical="center"/>
    </xf>
    <xf numFmtId="0" fontId="0" fillId="15" borderId="1" xfId="0" applyFill="1" applyBorder="1" applyAlignment="1">
      <alignment horizontal="left"/>
    </xf>
    <xf numFmtId="0" fontId="0" fillId="16" borderId="1" xfId="0" applyFont="1" applyFill="1" applyBorder="1"/>
    <xf numFmtId="49" fontId="3" fillId="17" borderId="1" xfId="0" applyNumberFormat="1" applyFont="1" applyFill="1" applyBorder="1" applyAlignment="1">
      <alignment vertical="center"/>
    </xf>
    <xf numFmtId="0" fontId="0" fillId="17" borderId="1" xfId="0" applyFill="1" applyBorder="1"/>
    <xf numFmtId="0" fontId="0" fillId="17" borderId="0" xfId="0" applyFill="1"/>
    <xf numFmtId="0" fontId="4" fillId="17" borderId="0" xfId="0" applyNumberFormat="1" applyFont="1" applyFill="1" applyAlignment="1">
      <alignment vertical="center"/>
    </xf>
    <xf numFmtId="0" fontId="10" fillId="17" borderId="1" xfId="0" applyFont="1" applyFill="1" applyBorder="1" applyAlignment="1">
      <alignment horizontal="left" vertical="center"/>
    </xf>
    <xf numFmtId="49" fontId="3" fillId="17" borderId="0" xfId="0" applyNumberFormat="1" applyFont="1" applyFill="1" applyBorder="1" applyAlignment="1">
      <alignment vertical="center"/>
    </xf>
    <xf numFmtId="49" fontId="4" fillId="17" borderId="0" xfId="0" applyNumberFormat="1" applyFont="1" applyFill="1" applyBorder="1" applyAlignment="1">
      <alignment vertical="center"/>
    </xf>
    <xf numFmtId="49" fontId="4" fillId="17" borderId="0" xfId="0" applyNumberFormat="1" applyFont="1" applyFill="1" applyAlignment="1">
      <alignment vertical="center"/>
    </xf>
    <xf numFmtId="49" fontId="2" fillId="17" borderId="0" xfId="0" applyNumberFormat="1" applyFont="1" applyFill="1" applyBorder="1" applyAlignment="1">
      <alignment vertical="center"/>
    </xf>
    <xf numFmtId="0" fontId="0" fillId="17" borderId="0" xfId="0" applyFill="1" applyAlignment="1">
      <alignment horizontal="left"/>
    </xf>
    <xf numFmtId="0" fontId="0" fillId="17" borderId="0" xfId="0" applyFill="1" applyBorder="1" applyAlignment="1">
      <alignment horizontal="left"/>
    </xf>
    <xf numFmtId="0" fontId="0" fillId="17" borderId="1" xfId="0" applyFill="1" applyBorder="1" applyAlignment="1">
      <alignment horizontal="left"/>
    </xf>
    <xf numFmtId="0" fontId="4" fillId="17" borderId="0" xfId="0" applyNumberFormat="1" applyFont="1" applyFill="1" applyBorder="1" applyAlignment="1">
      <alignment vertical="center"/>
    </xf>
    <xf numFmtId="0" fontId="0" fillId="2" borderId="1" xfId="0" applyFill="1" applyBorder="1"/>
    <xf numFmtId="0" fontId="11" fillId="6" borderId="1" xfId="0" applyFont="1" applyFill="1" applyBorder="1"/>
    <xf numFmtId="49" fontId="12" fillId="6" borderId="1" xfId="0" applyNumberFormat="1" applyFont="1" applyFill="1" applyBorder="1" applyAlignment="1">
      <alignment vertical="center"/>
    </xf>
    <xf numFmtId="49" fontId="3" fillId="0" borderId="2" xfId="0" applyNumberFormat="1" applyFont="1" applyFill="1" applyBorder="1" applyAlignment="1">
      <alignment vertical="center"/>
    </xf>
    <xf numFmtId="49" fontId="3" fillId="17" borderId="0" xfId="0" applyNumberFormat="1" applyFont="1" applyFill="1" applyAlignment="1">
      <alignment vertical="center"/>
    </xf>
    <xf numFmtId="0" fontId="8" fillId="8" borderId="4" xfId="0" applyFont="1" applyFill="1" applyBorder="1" applyAlignment="1">
      <alignment horizontal="center" vertical="center"/>
    </xf>
    <xf numFmtId="0" fontId="7" fillId="8" borderId="6" xfId="0" applyFont="1" applyFill="1" applyBorder="1" applyAlignment="1">
      <alignment horizontal="center"/>
    </xf>
    <xf numFmtId="0" fontId="3" fillId="0" borderId="1" xfId="0" applyNumberFormat="1" applyFont="1" applyFill="1" applyBorder="1" applyAlignment="1">
      <alignment vertical="center"/>
    </xf>
    <xf numFmtId="0" fontId="0" fillId="0" borderId="0" xfId="0" applyBorder="1"/>
    <xf numFmtId="0" fontId="0" fillId="3" borderId="13" xfId="0" applyFont="1" applyFill="1" applyBorder="1"/>
    <xf numFmtId="0" fontId="8" fillId="8" borderId="6" xfId="0" applyFont="1" applyFill="1" applyBorder="1" applyAlignment="1">
      <alignment horizontal="center" vertical="center"/>
    </xf>
    <xf numFmtId="0" fontId="8" fillId="8" borderId="4" xfId="0" applyFont="1" applyFill="1" applyBorder="1" applyAlignment="1">
      <alignment horizontal="center" vertical="center"/>
    </xf>
    <xf numFmtId="0" fontId="7" fillId="8" borderId="1" xfId="0" applyFont="1" applyFill="1" applyBorder="1" applyAlignment="1">
      <alignment horizontal="center"/>
    </xf>
    <xf numFmtId="0" fontId="7" fillId="8" borderId="6" xfId="0" applyFont="1" applyFill="1" applyBorder="1" applyAlignment="1">
      <alignment horizontal="center"/>
    </xf>
    <xf numFmtId="0" fontId="7" fillId="8" borderId="4" xfId="0" applyFont="1" applyFill="1" applyBorder="1" applyAlignment="1">
      <alignment horizontal="center"/>
    </xf>
    <xf numFmtId="0" fontId="7" fillId="0" borderId="18" xfId="0" applyFont="1" applyBorder="1" applyAlignment="1">
      <alignment horizontal="center" wrapText="1"/>
    </xf>
    <xf numFmtId="0" fontId="7" fillId="0" borderId="19" xfId="0" applyFont="1" applyBorder="1" applyAlignment="1">
      <alignment horizontal="center" wrapText="1"/>
    </xf>
    <xf numFmtId="0" fontId="7" fillId="0" borderId="20" xfId="0" applyFont="1" applyBorder="1" applyAlignment="1">
      <alignment horizontal="center" wrapText="1"/>
    </xf>
    <xf numFmtId="0" fontId="7" fillId="0" borderId="21" xfId="0" applyFont="1" applyFill="1" applyBorder="1" applyAlignment="1">
      <alignment horizontal="center"/>
    </xf>
    <xf numFmtId="0" fontId="7" fillId="0" borderId="1" xfId="0" applyFont="1" applyFill="1" applyBorder="1" applyAlignment="1">
      <alignment horizontal="center"/>
    </xf>
    <xf numFmtId="0" fontId="7" fillId="0" borderId="22" xfId="0" applyFont="1" applyFill="1" applyBorder="1" applyAlignment="1">
      <alignment horizontal="center" wrapText="1"/>
    </xf>
    <xf numFmtId="0" fontId="7" fillId="0" borderId="23" xfId="0" applyFont="1" applyFill="1" applyBorder="1" applyAlignment="1">
      <alignment horizontal="center" wrapText="1"/>
    </xf>
    <xf numFmtId="0" fontId="8" fillId="0" borderId="15" xfId="0" applyFont="1" applyFill="1" applyBorder="1" applyAlignment="1">
      <alignment horizontal="center" vertical="center"/>
    </xf>
    <xf numFmtId="0" fontId="8" fillId="0" borderId="16" xfId="0" applyFont="1" applyFill="1" applyBorder="1" applyAlignment="1">
      <alignment horizontal="center" vertical="center"/>
    </xf>
  </cellXfs>
  <cellStyles count="1">
    <cellStyle name="Обычный" xfId="0" builtinId="0"/>
  </cellStyles>
  <dxfs count="88"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0" formatCode="General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0" formatCode="General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thin">
          <color auto="1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scheme val="none"/>
      </font>
      <numFmt numFmtId="30" formatCode="@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scheme val="none"/>
      </font>
      <numFmt numFmtId="30" formatCode="@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scheme val="none"/>
      </font>
      <numFmt numFmtId="30" formatCode="@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scheme val="none"/>
      </font>
      <numFmt numFmtId="30" formatCode="@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scheme val="none"/>
      </font>
      <numFmt numFmtId="30" formatCode="@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scheme val="none"/>
      </font>
      <numFmt numFmtId="30" formatCode="@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scheme val="none"/>
      </font>
      <numFmt numFmtId="30" formatCode="@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scheme val="none"/>
      </font>
      <numFmt numFmtId="30" formatCode="@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color auto="1"/>
        <name val="Consolas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scheme val="none"/>
      </font>
      <alignment horizontal="general" vertical="center" textRotation="0" wrapText="0" indent="0" justifyLastLine="0" shrinkToFit="0" readingOrder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scheme val="none"/>
      </font>
      <numFmt numFmtId="30" formatCode="@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scheme val="none"/>
      </font>
      <numFmt numFmtId="30" formatCode="@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scheme val="none"/>
      </font>
      <numFmt numFmtId="30" formatCode="@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scheme val="none"/>
      </font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scheme val="none"/>
      </font>
      <fill>
        <patternFill patternType="solid">
          <fgColor theme="4"/>
          <bgColor theme="4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scheme val="none"/>
      </font>
      <numFmt numFmtId="30" formatCode="@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scheme val="none"/>
      </font>
      <numFmt numFmtId="30" formatCode="@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scheme val="none"/>
      </font>
      <numFmt numFmtId="30" formatCode="@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scheme val="none"/>
      </font>
      <alignment horizontal="general" vertical="center" textRotation="0" wrapText="0" indent="0" justifyLastLine="0" shrinkToFit="0" readingOrder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scheme val="none"/>
      </font>
      <numFmt numFmtId="30" formatCode="@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scheme val="none"/>
      </font>
      <numFmt numFmtId="30" formatCode="@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scheme val="none"/>
      </font>
      <alignment horizontal="general" vertical="center" textRotation="0" wrapText="0" indent="0" justifyLastLine="0" shrinkToFit="0" readingOrder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scheme val="none"/>
      </font>
      <numFmt numFmtId="30" formatCode="@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scheme val="none"/>
      </font>
      <numFmt numFmtId="30" formatCode="@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scheme val="none"/>
      </font>
      <alignment horizontal="general" vertical="center" textRotation="0" wrapText="0" indent="0" justifyLastLine="0" shrinkToFit="0" readingOrder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scheme val="none"/>
      </font>
      <numFmt numFmtId="30" formatCode="@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scheme val="none"/>
      </font>
      <numFmt numFmtId="30" formatCode="@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scheme val="none"/>
      </font>
      <alignment horizontal="general" vertical="center" textRotation="0" wrapText="0" indent="0" justifyLastLine="0" shrinkToFit="0" readingOrder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scheme val="none"/>
      </font>
      <numFmt numFmtId="30" formatCode="@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scheme val="none"/>
      </font>
      <numFmt numFmtId="30" formatCode="@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scheme val="none"/>
      </font>
      <numFmt numFmtId="30" formatCode="@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scheme val="none"/>
      </font>
      <numFmt numFmtId="30" formatCode="@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scheme val="none"/>
      </font>
      <numFmt numFmtId="30" formatCode="@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scheme val="none"/>
      </font>
      <numFmt numFmtId="30" formatCode="@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scheme val="none"/>
      </font>
      <numFmt numFmtId="30" formatCode="@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scheme val="none"/>
      </font>
      <numFmt numFmtId="30" formatCode="@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scheme val="none"/>
      </font>
      <numFmt numFmtId="30" formatCode="@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scheme val="none"/>
      </font>
      <numFmt numFmtId="30" formatCode="@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scheme val="none"/>
      </font>
      <numFmt numFmtId="30" formatCode="@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28575</xdr:rowOff>
        </xdr:from>
        <xdr:to>
          <xdr:col>21</xdr:col>
          <xdr:colOff>38100</xdr:colOff>
          <xdr:row>0</xdr:row>
          <xdr:rowOff>400050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uk-UA" sz="1100" b="0" i="0" u="none" strike="noStrike" baseline="0">
                  <a:solidFill>
                    <a:srgbClr val="000000"/>
                  </a:solidFill>
                  <a:latin typeface="Calibri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876300</xdr:colOff>
          <xdr:row>0</xdr:row>
          <xdr:rowOff>76200</xdr:rowOff>
        </xdr:from>
        <xdr:to>
          <xdr:col>1</xdr:col>
          <xdr:colOff>1790700</xdr:colOff>
          <xdr:row>0</xdr:row>
          <xdr:rowOff>447675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xmlns="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uk-UA" sz="1100" b="0" i="0" u="none" strike="noStrike" baseline="0">
                  <a:solidFill>
                    <a:srgbClr val="000000"/>
                  </a:solidFill>
                  <a:latin typeface="Calibri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876300</xdr:colOff>
          <xdr:row>0</xdr:row>
          <xdr:rowOff>76200</xdr:rowOff>
        </xdr:from>
        <xdr:to>
          <xdr:col>1</xdr:col>
          <xdr:colOff>1790700</xdr:colOff>
          <xdr:row>0</xdr:row>
          <xdr:rowOff>447675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xmlns="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uk-UA" sz="1100" b="0" i="0" u="none" strike="noStrike" baseline="0">
                  <a:solidFill>
                    <a:srgbClr val="000000"/>
                  </a:solidFill>
                  <a:latin typeface="Calibri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876300</xdr:colOff>
          <xdr:row>0</xdr:row>
          <xdr:rowOff>76200</xdr:rowOff>
        </xdr:from>
        <xdr:to>
          <xdr:col>1</xdr:col>
          <xdr:colOff>1790700</xdr:colOff>
          <xdr:row>0</xdr:row>
          <xdr:rowOff>447675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xmlns="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uk-UA" sz="1100" b="0" i="0" u="none" strike="noStrike" baseline="0">
                  <a:solidFill>
                    <a:srgbClr val="000000"/>
                  </a:solidFill>
                  <a:latin typeface="Calibri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876300</xdr:colOff>
          <xdr:row>0</xdr:row>
          <xdr:rowOff>76200</xdr:rowOff>
        </xdr:from>
        <xdr:to>
          <xdr:col>1</xdr:col>
          <xdr:colOff>1790700</xdr:colOff>
          <xdr:row>0</xdr:row>
          <xdr:rowOff>447675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xmlns="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uk-UA" sz="1100" b="0" i="0" u="none" strike="noStrike" baseline="0">
                  <a:solidFill>
                    <a:srgbClr val="000000"/>
                  </a:solidFill>
                  <a:latin typeface="Calibri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0</xdr:row>
          <xdr:rowOff>47625</xdr:rowOff>
        </xdr:from>
        <xdr:to>
          <xdr:col>1</xdr:col>
          <xdr:colOff>5172075</xdr:colOff>
          <xdr:row>0</xdr:row>
          <xdr:rowOff>419100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xmlns="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uk-UA" sz="1100" b="0" i="0" u="none" strike="noStrike" baseline="0">
                  <a:solidFill>
                    <a:srgbClr val="000000"/>
                  </a:solidFill>
                  <a:latin typeface="Calibri"/>
                </a:rPr>
                <a:t>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66675</xdr:colOff>
          <xdr:row>0</xdr:row>
          <xdr:rowOff>38100</xdr:rowOff>
        </xdr:from>
        <xdr:to>
          <xdr:col>4</xdr:col>
          <xdr:colOff>3638550</xdr:colOff>
          <xdr:row>0</xdr:row>
          <xdr:rowOff>371475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xmlns="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uk-UA" sz="1100" b="0" i="0" u="none" strike="noStrike" baseline="0">
                  <a:solidFill>
                    <a:srgbClr val="000000"/>
                  </a:solidFill>
                  <a:latin typeface="Calibri"/>
                </a:rPr>
                <a:t>Range [...","...] separate -&gt; Clipboard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0</xdr:row>
          <xdr:rowOff>38100</xdr:rowOff>
        </xdr:from>
        <xdr:to>
          <xdr:col>1</xdr:col>
          <xdr:colOff>1924050</xdr:colOff>
          <xdr:row>0</xdr:row>
          <xdr:rowOff>409575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xmlns="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uk-UA" sz="1100" b="0" i="0" u="none" strike="noStrike" baseline="0">
                  <a:solidFill>
                    <a:srgbClr val="000000"/>
                  </a:solidFill>
                  <a:latin typeface="Calibri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0</xdr:row>
          <xdr:rowOff>38100</xdr:rowOff>
        </xdr:from>
        <xdr:to>
          <xdr:col>1</xdr:col>
          <xdr:colOff>1924050</xdr:colOff>
          <xdr:row>0</xdr:row>
          <xdr:rowOff>409575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xmlns="" id="{00000000-0008-0000-07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uk-UA" sz="1100" b="0" i="0" u="none" strike="noStrike" baseline="0">
                  <a:solidFill>
                    <a:srgbClr val="000000"/>
                  </a:solidFill>
                  <a:latin typeface="Calibri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</xdr:colOff>
          <xdr:row>1</xdr:row>
          <xdr:rowOff>0</xdr:rowOff>
        </xdr:from>
        <xdr:to>
          <xdr:col>7</xdr:col>
          <xdr:colOff>9525</xdr:colOff>
          <xdr:row>2</xdr:row>
          <xdr:rowOff>38100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xmlns="" id="{00000000-0008-0000-09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uk-UA" sz="1100" b="0" i="0" u="none" strike="noStrike" baseline="0">
                  <a:solidFill>
                    <a:srgbClr val="000000"/>
                  </a:solidFill>
                  <a:latin typeface="Calibri"/>
                </a:rPr>
                <a:t>Кнопка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438150</xdr:colOff>
          <xdr:row>1</xdr:row>
          <xdr:rowOff>66675</xdr:rowOff>
        </xdr:from>
        <xdr:to>
          <xdr:col>9</xdr:col>
          <xdr:colOff>0</xdr:colOff>
          <xdr:row>2</xdr:row>
          <xdr:rowOff>161925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xmlns="" id="{00000000-0008-0000-09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uk-UA" sz="1100" b="0" i="0" u="none" strike="noStrike" baseline="0">
                  <a:solidFill>
                    <a:srgbClr val="000000"/>
                  </a:solidFill>
                  <a:latin typeface="Calibri"/>
                </a:rPr>
                <a:t>Кнопка 2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9525</xdr:rowOff>
        </xdr:from>
        <xdr:to>
          <xdr:col>6</xdr:col>
          <xdr:colOff>0</xdr:colOff>
          <xdr:row>1</xdr:row>
          <xdr:rowOff>85725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uk-UA" sz="1100" b="0" i="0" u="none" strike="noStrike" baseline="0">
                  <a:solidFill>
                    <a:srgbClr val="000000"/>
                  </a:solidFill>
                  <a:latin typeface="Calibri"/>
                </a:rPr>
                <a:t>TO JSON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Таблица1" displayName="Таблица1" ref="I3:U407" totalsRowShown="0" headerRowDxfId="87" dataDxfId="85" headerRowBorderDxfId="86" tableBorderDxfId="84" totalsRowBorderDxfId="83">
  <autoFilter ref="I3:U407"/>
  <tableColumns count="13">
    <tableColumn id="1" name="_id" dataDxfId="82"/>
    <tableColumn id="3" name="full_name" dataDxfId="81">
      <calculatedColumnFormula>CONCATENATE(IF(ISBLANK(A4),"",A4&amp;CHAR(46)), IF(ISBLANK(B4),"",B4&amp;CHAR(46)), IF(ISBLANK(C4),"",C4&amp;CHAR(46)),IF(ISBLANK(D4),"",D4&amp;CHAR(46)), IF(ISBLANK(E4),"",E4&amp;CHAR(46)),IF(ISBLANK(F4),"",F4&amp;CHAR(46)),IF(ISBLANK(G4),"",G4) )</calculatedColumnFormula>
    </tableColumn>
    <tableColumn id="20" name="name" dataDxfId="80"/>
    <tableColumn id="5" name="eu" dataDxfId="79"/>
    <tableColumn id="6" name="min" dataDxfId="78"/>
    <tableColumn id="7" name="max" dataDxfId="77"/>
    <tableColumn id="8" name="options" dataDxfId="76"/>
    <tableColumn id="9" name="step" dataDxfId="75"/>
    <tableColumn id="10" name="fixed" dataDxfId="74"/>
    <tableColumn id="11" name="granularity" dataDxfId="73"/>
    <tableColumn id="13" name="func" dataDxfId="72"/>
    <tableColumn id="15" name="create_role" dataDxfId="71"/>
    <tableColumn id="18" name="type" dataDxfId="7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Таблица13" displayName="Таблица13" ref="A3:C16" totalsRowShown="0" headerRowDxfId="69" dataDxfId="67" headerRowBorderDxfId="68" tableBorderDxfId="66" totalsRowBorderDxfId="65">
  <autoFilter ref="A3:C16"/>
  <tableColumns count="3">
    <tableColumn id="1" name="_id" dataDxfId="64"/>
    <tableColumn id="2" name="short_name" dataDxfId="63"/>
    <tableColumn id="3" name="full_name" dataDxfId="6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Таблица134" displayName="Таблица134" ref="A3:C5" totalsRowShown="0" headerRowDxfId="61" dataDxfId="59" headerRowBorderDxfId="60" tableBorderDxfId="58" totalsRowBorderDxfId="57">
  <autoFilter ref="A3:C5"/>
  <tableColumns count="3">
    <tableColumn id="1" name="_id" dataDxfId="56"/>
    <tableColumn id="2" name="set_name" dataDxfId="55"/>
    <tableColumn id="3" name="kvp" dataDxfId="5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Таблица1345" displayName="Таблица1345" ref="A3:C13" totalsRowShown="0" headerRowDxfId="53" dataDxfId="51" headerRowBorderDxfId="52" tableBorderDxfId="50" totalsRowBorderDxfId="49">
  <autoFilter ref="A3:C13"/>
  <tableColumns count="3">
    <tableColumn id="1" name="_id" dataDxfId="48"/>
    <tableColumn id="2" name="name" dataDxfId="47"/>
    <tableColumn id="3" name="profile" dataDxfId="4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Таблица13456" displayName="Таблица13456" ref="A3:G9" totalsRowShown="0" headerRowDxfId="45" dataDxfId="43" headerRowBorderDxfId="44" tableBorderDxfId="42" totalsRowBorderDxfId="41">
  <autoFilter ref="A3:G9"/>
  <tableColumns count="7">
    <tableColumn id="1" name="_id" dataDxfId="40"/>
    <tableColumn id="2" name="name" dataDxfId="39"/>
    <tableColumn id="3" name="login" dataDxfId="38"/>
    <tableColumn id="4" name="password" dataDxfId="37"/>
    <tableColumn id="5" name="is_domain" dataDxfId="36"/>
    <tableColumn id="6" name="profile" dataDxfId="35"/>
    <tableColumn id="7" name="role" dataDxfId="34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Таблица6" displayName="Таблица6" ref="A3:E167" totalsRowShown="0" headerRowDxfId="33" dataDxfId="32" tableBorderDxfId="31">
  <autoFilter ref="A3:E167"/>
  <tableColumns count="5">
    <tableColumn id="1" name="_id" dataDxfId="30"/>
    <tableColumn id="2" name="full_name" dataDxfId="29"/>
    <tableColumn id="3" name="name" dataDxfId="28"/>
    <tableColumn id="4" name="short_name" dataDxfId="27"/>
    <tableColumn id="5" name="params" dataDxfId="26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Таблица134568" displayName="Таблица134568" ref="A3:I19" totalsRowShown="0" headerRowDxfId="25" dataDxfId="23" headerRowBorderDxfId="24" tableBorderDxfId="22" totalsRowBorderDxfId="21">
  <autoFilter ref="A3:I19"/>
  <tableColumns count="9">
    <tableColumn id="1" name="1" dataDxfId="20"/>
    <tableColumn id="2" name="2" dataDxfId="19"/>
    <tableColumn id="3" name="3" dataDxfId="18"/>
    <tableColumn id="4" name="4" dataDxfId="17"/>
    <tableColumn id="5" name="5" dataDxfId="16"/>
    <tableColumn id="6" name="6" dataDxfId="15"/>
    <tableColumn id="7" name="7" dataDxfId="14"/>
    <tableColumn id="8" name="8" dataDxfId="13"/>
    <tableColumn id="9" name="9" dataDxfId="1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9" name="Таблица110" displayName="Таблица110" ref="B4:M20" totalsRowShown="0" tableBorderDxfId="11">
  <autoFilter ref="B4:M20"/>
  <tableColumns count="12">
    <tableColumn id="1" name="B" dataDxfId="10">
      <calculatedColumnFormula>CONCATENATE("{point:",N5,"}")</calculatedColumnFormula>
    </tableColumn>
    <tableColumn id="2" name="C" dataDxfId="9">
      <calculatedColumnFormula>CONCATENATE("{point:",O5,"}")</calculatedColumnFormula>
    </tableColumn>
    <tableColumn id="5" name="D" dataDxfId="8">
      <calculatedColumnFormula>CONCATENATE("{point:",P5,"}")</calculatedColumnFormula>
    </tableColumn>
    <tableColumn id="12" name="E" dataDxfId="7">
      <calculatedColumnFormula>CONCATENATE("{point:",Q5,"}")</calculatedColumnFormula>
    </tableColumn>
    <tableColumn id="11" name="F" dataDxfId="6">
      <calculatedColumnFormula>CONCATENATE("{point:",R5,"}")</calculatedColumnFormula>
    </tableColumn>
    <tableColumn id="10" name="G" dataDxfId="5">
      <calculatedColumnFormula>CONCATENATE("{point:",S5,"}")</calculatedColumnFormula>
    </tableColumn>
    <tableColumn id="9" name="H" dataDxfId="4">
      <calculatedColumnFormula>CONCATENATE("{point:",T5,"}")</calculatedColumnFormula>
    </tableColumn>
    <tableColumn id="8" name="I" dataDxfId="3">
      <calculatedColumnFormula>CONCATENATE("{point:",U5,"}")</calculatedColumnFormula>
    </tableColumn>
    <tableColumn id="7" name="J" dataDxfId="2">
      <calculatedColumnFormula>CONCATENATE("{func:",V5,"}")</calculatedColumnFormula>
    </tableColumn>
    <tableColumn id="6" name="K" dataDxfId="1">
      <calculatedColumnFormula>CONCATENATE("{func:",W5,"}")</calculatedColumnFormula>
    </tableColumn>
    <tableColumn id="3" name="L" dataDxfId="0">
      <calculatedColumnFormula>CONCATENATE("{func:",W5,"}")</calculatedColumnFormula>
    </tableColumn>
    <tableColumn id="4" name="key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0" name="Таблица10" displayName="Таблица10" ref="B1:D36" totalsRowShown="0">
  <autoFilter ref="B1:D36"/>
  <tableColumns count="3">
    <tableColumn id="1" name="key"/>
    <tableColumn id="2" name="filter"/>
    <tableColumn id="3" name="cell_field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8" name="Таблица8" displayName="Таблица8" ref="A3:F6" totalsRowShown="0">
  <autoFilter ref="A3:F6"/>
  <tableColumns count="6">
    <tableColumn id="1" name="line_name"/>
    <tableColumn id="2" name="ask_id"/>
    <tableColumn id="3" name="ask_par"/>
    <tableColumn id="4" name="point"/>
    <tableColumn id="5" name="if_point"/>
    <tableColumn id="6" name="if_valu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3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4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5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6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table" Target="../tables/table7.xml"/><Relationship Id="rId4" Type="http://schemas.openxmlformats.org/officeDocument/2006/relationships/ctrlProp" Target="../ctrlProps/ctrlProp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table" Target="../tables/table8.xml"/><Relationship Id="rId4" Type="http://schemas.openxmlformats.org/officeDocument/2006/relationships/ctrlProp" Target="../ctrlProps/ctrlProp9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5" Type="http://schemas.openxmlformats.org/officeDocument/2006/relationships/table" Target="../tables/table9.xml"/><Relationship Id="rId4" Type="http://schemas.openxmlformats.org/officeDocument/2006/relationships/ctrlProp" Target="../ctrlProps/ctrlProp1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4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V407"/>
  <sheetViews>
    <sheetView tabSelected="1" zoomScale="85" zoomScaleNormal="85" workbookViewId="0">
      <pane ySplit="2" topLeftCell="A196" activePane="bottomLeft" state="frozen"/>
      <selection pane="bottomLeft" activeCell="S212" sqref="S212"/>
    </sheetView>
  </sheetViews>
  <sheetFormatPr defaultRowHeight="15" x14ac:dyDescent="0.25"/>
  <cols>
    <col min="1" max="1" width="17.28515625" bestFit="1" customWidth="1"/>
    <col min="2" max="2" width="33.85546875" customWidth="1"/>
    <col min="3" max="3" width="18.42578125" bestFit="1" customWidth="1"/>
    <col min="4" max="4" width="9" bestFit="1" customWidth="1"/>
    <col min="5" max="5" width="10.28515625" customWidth="1"/>
    <col min="6" max="6" width="16" bestFit="1" customWidth="1"/>
    <col min="7" max="7" width="9.85546875" customWidth="1"/>
    <col min="9" max="9" width="6.7109375" bestFit="1" customWidth="1"/>
    <col min="10" max="10" width="76.28515625" bestFit="1" customWidth="1"/>
    <col min="11" max="11" width="72.85546875" bestFit="1" customWidth="1"/>
    <col min="12" max="12" width="16.42578125" bestFit="1" customWidth="1"/>
    <col min="13" max="13" width="9.140625" customWidth="1"/>
    <col min="14" max="14" width="10" bestFit="1" customWidth="1"/>
    <col min="15" max="15" width="11.42578125" customWidth="1"/>
    <col min="16" max="16" width="9" bestFit="1" customWidth="1"/>
    <col min="17" max="17" width="9.140625" customWidth="1"/>
    <col min="18" max="18" width="16" bestFit="1" customWidth="1"/>
    <col min="19" max="19" width="7.85546875" bestFit="1" customWidth="1"/>
    <col min="20" max="20" width="18" bestFit="1" customWidth="1"/>
    <col min="21" max="21" width="7.85546875" bestFit="1" customWidth="1"/>
    <col min="22" max="22" width="16.85546875" customWidth="1"/>
  </cols>
  <sheetData>
    <row r="1" spans="1:22" ht="66.75" customHeight="1" x14ac:dyDescent="0.25"/>
    <row r="2" spans="1:22" x14ac:dyDescent="0.25">
      <c r="A2" s="122" t="s">
        <v>138</v>
      </c>
      <c r="B2" s="122" t="s">
        <v>139</v>
      </c>
      <c r="C2" s="122" t="s">
        <v>140</v>
      </c>
      <c r="D2" s="122" t="s">
        <v>209</v>
      </c>
      <c r="E2" s="122" t="s">
        <v>210</v>
      </c>
      <c r="F2" s="122" t="s">
        <v>212</v>
      </c>
      <c r="G2" s="122" t="s">
        <v>213</v>
      </c>
      <c r="I2" s="123" t="s">
        <v>14</v>
      </c>
      <c r="J2" s="123" t="s">
        <v>0</v>
      </c>
      <c r="K2" s="124" t="s">
        <v>1</v>
      </c>
      <c r="L2" s="124" t="s">
        <v>3</v>
      </c>
      <c r="M2" s="124" t="s">
        <v>4</v>
      </c>
      <c r="N2" s="124" t="s">
        <v>5</v>
      </c>
      <c r="O2" s="124" t="s">
        <v>6</v>
      </c>
      <c r="P2" s="124" t="s">
        <v>9</v>
      </c>
      <c r="Q2" s="124" t="s">
        <v>160</v>
      </c>
      <c r="R2" s="124" t="s">
        <v>141</v>
      </c>
      <c r="S2" s="124" t="s">
        <v>10</v>
      </c>
      <c r="T2" s="124" t="s">
        <v>15</v>
      </c>
      <c r="U2" s="124" t="s">
        <v>16</v>
      </c>
    </row>
    <row r="3" spans="1:22" x14ac:dyDescent="0.25">
      <c r="A3" s="36" t="s">
        <v>138</v>
      </c>
      <c r="B3" s="36" t="s">
        <v>139</v>
      </c>
      <c r="C3" s="36" t="s">
        <v>140</v>
      </c>
      <c r="D3" s="36" t="s">
        <v>209</v>
      </c>
      <c r="E3" s="36" t="s">
        <v>210</v>
      </c>
      <c r="F3" s="36" t="s">
        <v>212</v>
      </c>
      <c r="G3" s="36" t="s">
        <v>213</v>
      </c>
      <c r="I3" s="8" t="s">
        <v>14</v>
      </c>
      <c r="J3" s="4" t="s">
        <v>0</v>
      </c>
      <c r="K3" s="9" t="s">
        <v>1</v>
      </c>
      <c r="L3" s="9" t="s">
        <v>3</v>
      </c>
      <c r="M3" s="9" t="s">
        <v>4</v>
      </c>
      <c r="N3" s="9" t="s">
        <v>5</v>
      </c>
      <c r="O3" s="9" t="s">
        <v>6</v>
      </c>
      <c r="P3" s="9" t="s">
        <v>9</v>
      </c>
      <c r="Q3" s="17" t="s">
        <v>160</v>
      </c>
      <c r="R3" s="18" t="s">
        <v>141</v>
      </c>
      <c r="S3" s="18" t="s">
        <v>10</v>
      </c>
      <c r="T3" s="18" t="s">
        <v>15</v>
      </c>
      <c r="U3" s="18" t="s">
        <v>16</v>
      </c>
    </row>
    <row r="4" spans="1:22" ht="15" customHeight="1" x14ac:dyDescent="0.25">
      <c r="A4" s="31" t="s">
        <v>54</v>
      </c>
      <c r="B4" s="32" t="s">
        <v>55</v>
      </c>
      <c r="C4" s="32" t="s">
        <v>89</v>
      </c>
      <c r="D4" s="32" t="s">
        <v>56</v>
      </c>
      <c r="E4" s="32"/>
      <c r="F4" s="32"/>
      <c r="G4" s="32" t="s">
        <v>165</v>
      </c>
      <c r="I4" s="16">
        <v>1</v>
      </c>
      <c r="J4" s="39" t="str">
        <f t="shared" ref="J4:J35" si="0">CONCATENATE(IF(ISBLANK(A4),"",A4&amp;CHAR(46)), IF(ISBLANK(B4),"",B4&amp;CHAR(46)), IF(ISBLANK(C4),"",C4&amp;CHAR(46)),IF(ISBLANK(D4),"",D4&amp;CHAR(46)), IF(ISBLANK(E4),"",E4&amp;CHAR(46)),IF(ISBLANK(F4),"",F4&amp;CHAR(46)),IF(ISBLANK(G4),"",G4) )</f>
        <v>Опарське ВУПЗГ.ПСГ Опарське.ВОГ ПСГ.ФХП.T</v>
      </c>
      <c r="K4" s="19" t="s">
        <v>63</v>
      </c>
      <c r="L4" s="24" t="s">
        <v>157</v>
      </c>
      <c r="M4" s="19" t="s">
        <v>7</v>
      </c>
      <c r="N4" s="19" t="s">
        <v>31</v>
      </c>
      <c r="O4" s="19"/>
      <c r="P4" s="19" t="s">
        <v>13</v>
      </c>
      <c r="Q4" s="19" t="s">
        <v>51</v>
      </c>
      <c r="R4" s="19" t="s">
        <v>142</v>
      </c>
      <c r="S4" s="20"/>
      <c r="T4" s="19" t="s">
        <v>50</v>
      </c>
      <c r="U4" s="20" t="s">
        <v>17</v>
      </c>
      <c r="V4" s="40"/>
    </row>
    <row r="5" spans="1:22" x14ac:dyDescent="0.25">
      <c r="A5" s="33" t="s">
        <v>54</v>
      </c>
      <c r="B5" s="34" t="s">
        <v>55</v>
      </c>
      <c r="C5" s="34" t="s">
        <v>89</v>
      </c>
      <c r="D5" s="34" t="s">
        <v>56</v>
      </c>
      <c r="E5" s="34"/>
      <c r="F5" s="34"/>
      <c r="G5" s="34" t="s">
        <v>165</v>
      </c>
      <c r="I5" s="16">
        <v>2</v>
      </c>
      <c r="J5" s="39" t="str">
        <f t="shared" si="0"/>
        <v>Опарське ВУПЗГ.ПСГ Опарське.ВОГ ПСГ.ФХП.T</v>
      </c>
      <c r="K5" s="19" t="s">
        <v>62</v>
      </c>
      <c r="L5" s="19" t="s">
        <v>57</v>
      </c>
      <c r="M5" s="19" t="s">
        <v>7</v>
      </c>
      <c r="N5" s="19" t="s">
        <v>31</v>
      </c>
      <c r="O5" s="19"/>
      <c r="P5" s="19" t="s">
        <v>13</v>
      </c>
      <c r="Q5" s="19" t="s">
        <v>51</v>
      </c>
      <c r="R5" s="19" t="s">
        <v>142</v>
      </c>
      <c r="S5" s="20"/>
      <c r="T5" s="19" t="s">
        <v>50</v>
      </c>
      <c r="U5" s="20" t="s">
        <v>17</v>
      </c>
    </row>
    <row r="6" spans="1:22" ht="16.5" x14ac:dyDescent="0.25">
      <c r="A6" s="31" t="s">
        <v>54</v>
      </c>
      <c r="B6" s="32" t="s">
        <v>55</v>
      </c>
      <c r="C6" s="32" t="s">
        <v>89</v>
      </c>
      <c r="D6" s="32" t="s">
        <v>56</v>
      </c>
      <c r="E6" s="32"/>
      <c r="F6" s="32"/>
      <c r="G6" s="32" t="s">
        <v>166</v>
      </c>
      <c r="I6" s="16">
        <v>3</v>
      </c>
      <c r="J6" s="39" t="str">
        <f t="shared" si="0"/>
        <v>Опарське ВУПЗГ.ПСГ Опарське.ВОГ ПСГ.ФХП.Ro</v>
      </c>
      <c r="K6" s="19" t="s">
        <v>52</v>
      </c>
      <c r="L6" s="19" t="s">
        <v>58</v>
      </c>
      <c r="M6" s="19" t="s">
        <v>7</v>
      </c>
      <c r="N6" s="19" t="s">
        <v>31</v>
      </c>
      <c r="O6" s="19"/>
      <c r="P6" s="19" t="s">
        <v>13</v>
      </c>
      <c r="Q6" s="19" t="s">
        <v>51</v>
      </c>
      <c r="R6" s="19" t="s">
        <v>142</v>
      </c>
      <c r="S6" s="20"/>
      <c r="T6" s="19" t="s">
        <v>50</v>
      </c>
      <c r="U6" s="20" t="s">
        <v>17</v>
      </c>
    </row>
    <row r="7" spans="1:22" ht="16.5" x14ac:dyDescent="0.25">
      <c r="A7" s="33" t="s">
        <v>54</v>
      </c>
      <c r="B7" s="34" t="s">
        <v>55</v>
      </c>
      <c r="C7" s="34" t="s">
        <v>89</v>
      </c>
      <c r="D7" s="34" t="s">
        <v>56</v>
      </c>
      <c r="E7" s="34"/>
      <c r="F7" s="34"/>
      <c r="G7" s="34" t="s">
        <v>169</v>
      </c>
      <c r="I7" s="16">
        <v>4</v>
      </c>
      <c r="J7" s="39" t="str">
        <f t="shared" si="0"/>
        <v>Опарське ВУПЗГ.ПСГ Опарське.ВОГ ПСГ.ФХП.GCV</v>
      </c>
      <c r="K7" s="19" t="s">
        <v>61</v>
      </c>
      <c r="L7" s="19" t="s">
        <v>60</v>
      </c>
      <c r="M7" s="19" t="s">
        <v>7</v>
      </c>
      <c r="N7" s="19" t="s">
        <v>31</v>
      </c>
      <c r="O7" s="19"/>
      <c r="P7" s="19" t="s">
        <v>13</v>
      </c>
      <c r="Q7" s="19" t="s">
        <v>51</v>
      </c>
      <c r="R7" s="19" t="s">
        <v>142</v>
      </c>
      <c r="S7" s="20"/>
      <c r="T7" s="19" t="s">
        <v>50</v>
      </c>
      <c r="U7" s="20" t="s">
        <v>17</v>
      </c>
    </row>
    <row r="8" spans="1:22" ht="16.5" x14ac:dyDescent="0.25">
      <c r="A8" s="31" t="s">
        <v>54</v>
      </c>
      <c r="B8" s="32" t="s">
        <v>55</v>
      </c>
      <c r="C8" s="32" t="s">
        <v>89</v>
      </c>
      <c r="D8" s="32" t="s">
        <v>56</v>
      </c>
      <c r="E8" s="32"/>
      <c r="F8" s="32"/>
      <c r="G8" s="32" t="s">
        <v>169</v>
      </c>
      <c r="I8" s="16">
        <v>5</v>
      </c>
      <c r="J8" s="39" t="str">
        <f t="shared" si="0"/>
        <v>Опарське ВУПЗГ.ПСГ Опарське.ВОГ ПСГ.ФХП.GCV</v>
      </c>
      <c r="K8" s="19" t="s">
        <v>59</v>
      </c>
      <c r="L8" s="19" t="s">
        <v>60</v>
      </c>
      <c r="M8" s="19" t="s">
        <v>7</v>
      </c>
      <c r="N8" s="19" t="s">
        <v>31</v>
      </c>
      <c r="O8" s="19"/>
      <c r="P8" s="19" t="s">
        <v>13</v>
      </c>
      <c r="Q8" s="19" t="s">
        <v>51</v>
      </c>
      <c r="R8" s="19" t="s">
        <v>142</v>
      </c>
      <c r="S8" s="20"/>
      <c r="T8" s="19" t="s">
        <v>50</v>
      </c>
      <c r="U8" s="20" t="s">
        <v>17</v>
      </c>
    </row>
    <row r="9" spans="1:22" x14ac:dyDescent="0.25">
      <c r="A9" s="33" t="s">
        <v>54</v>
      </c>
      <c r="B9" s="34" t="s">
        <v>55</v>
      </c>
      <c r="C9" s="34" t="s">
        <v>89</v>
      </c>
      <c r="D9" s="34" t="s">
        <v>56</v>
      </c>
      <c r="E9" s="34"/>
      <c r="F9" s="34"/>
      <c r="G9" s="34" t="s">
        <v>171</v>
      </c>
      <c r="I9" s="16">
        <v>6</v>
      </c>
      <c r="J9" s="39" t="str">
        <f t="shared" si="0"/>
        <v>Опарське ВУПЗГ.ПСГ Опарське.ВОГ ПСГ.ФХП.Me</v>
      </c>
      <c r="K9" s="19" t="s">
        <v>64</v>
      </c>
      <c r="L9" s="19" t="s">
        <v>53</v>
      </c>
      <c r="M9" s="19" t="s">
        <v>7</v>
      </c>
      <c r="N9" s="19" t="s">
        <v>31</v>
      </c>
      <c r="O9" s="19"/>
      <c r="P9" s="19" t="s">
        <v>13</v>
      </c>
      <c r="Q9" s="19" t="s">
        <v>51</v>
      </c>
      <c r="R9" s="19" t="s">
        <v>142</v>
      </c>
      <c r="S9" s="20"/>
      <c r="T9" s="19" t="s">
        <v>50</v>
      </c>
      <c r="U9" s="20" t="s">
        <v>17</v>
      </c>
    </row>
    <row r="10" spans="1:22" x14ac:dyDescent="0.25">
      <c r="A10" s="31" t="s">
        <v>54</v>
      </c>
      <c r="B10" s="32" t="s">
        <v>55</v>
      </c>
      <c r="C10" s="32" t="s">
        <v>89</v>
      </c>
      <c r="D10" s="32" t="s">
        <v>56</v>
      </c>
      <c r="E10" s="32"/>
      <c r="F10" s="32"/>
      <c r="G10" s="32" t="s">
        <v>167</v>
      </c>
      <c r="I10" s="16">
        <v>7</v>
      </c>
      <c r="J10" s="39" t="str">
        <f t="shared" si="0"/>
        <v>Опарське ВУПЗГ.ПСГ Опарське.ВОГ ПСГ.ФХП.CO2</v>
      </c>
      <c r="K10" s="19" t="s">
        <v>65</v>
      </c>
      <c r="L10" s="19" t="s">
        <v>53</v>
      </c>
      <c r="M10" s="19" t="s">
        <v>7</v>
      </c>
      <c r="N10" s="19" t="s">
        <v>31</v>
      </c>
      <c r="O10" s="19"/>
      <c r="P10" s="19" t="s">
        <v>13</v>
      </c>
      <c r="Q10" s="19" t="s">
        <v>51</v>
      </c>
      <c r="R10" s="19" t="s">
        <v>142</v>
      </c>
      <c r="S10" s="20"/>
      <c r="T10" s="19" t="s">
        <v>50</v>
      </c>
      <c r="U10" s="20" t="s">
        <v>17</v>
      </c>
    </row>
    <row r="11" spans="1:22" x14ac:dyDescent="0.25">
      <c r="A11" s="33" t="s">
        <v>54</v>
      </c>
      <c r="B11" s="34" t="s">
        <v>55</v>
      </c>
      <c r="C11" s="34" t="s">
        <v>89</v>
      </c>
      <c r="D11" s="34" t="s">
        <v>71</v>
      </c>
      <c r="E11" s="34" t="s">
        <v>214</v>
      </c>
      <c r="F11" s="34"/>
      <c r="G11" s="34" t="s">
        <v>168</v>
      </c>
      <c r="I11" s="16">
        <v>8</v>
      </c>
      <c r="J11" s="39" t="str">
        <f t="shared" si="0"/>
        <v>Опарське ВУПЗГ.ПСГ Опарське.ВОГ ПСГ.ПВВГ.закачка.Q</v>
      </c>
      <c r="K11" s="19" t="s">
        <v>66</v>
      </c>
      <c r="L11" s="19" t="s">
        <v>158</v>
      </c>
      <c r="M11" s="19" t="s">
        <v>7</v>
      </c>
      <c r="N11" s="19" t="s">
        <v>31</v>
      </c>
      <c r="O11" s="19"/>
      <c r="P11" s="19" t="s">
        <v>13</v>
      </c>
      <c r="Q11" s="19" t="s">
        <v>51</v>
      </c>
      <c r="R11" s="19" t="s">
        <v>142</v>
      </c>
      <c r="S11" s="20"/>
      <c r="T11" s="19" t="s">
        <v>50</v>
      </c>
      <c r="U11" s="20" t="s">
        <v>17</v>
      </c>
    </row>
    <row r="12" spans="1:22" x14ac:dyDescent="0.25">
      <c r="A12" s="31" t="s">
        <v>54</v>
      </c>
      <c r="B12" s="32" t="s">
        <v>55</v>
      </c>
      <c r="C12" s="32" t="s">
        <v>89</v>
      </c>
      <c r="D12" s="32" t="s">
        <v>71</v>
      </c>
      <c r="E12" s="32" t="s">
        <v>215</v>
      </c>
      <c r="F12" s="32"/>
      <c r="G12" s="32" t="s">
        <v>168</v>
      </c>
      <c r="I12" s="16">
        <v>9</v>
      </c>
      <c r="J12" s="39" t="str">
        <f t="shared" si="0"/>
        <v>Опарське ВУПЗГ.ПСГ Опарське.ВОГ ПСГ.ПВВГ.відбір.Q</v>
      </c>
      <c r="K12" s="19" t="s">
        <v>67</v>
      </c>
      <c r="L12" s="19" t="s">
        <v>158</v>
      </c>
      <c r="M12" s="19" t="s">
        <v>7</v>
      </c>
      <c r="N12" s="19" t="s">
        <v>31</v>
      </c>
      <c r="O12" s="19"/>
      <c r="P12" s="19" t="s">
        <v>13</v>
      </c>
      <c r="Q12" s="19" t="s">
        <v>51</v>
      </c>
      <c r="R12" s="19" t="s">
        <v>142</v>
      </c>
      <c r="S12" s="20"/>
      <c r="T12" s="19" t="s">
        <v>50</v>
      </c>
      <c r="U12" s="20" t="s">
        <v>17</v>
      </c>
    </row>
    <row r="13" spans="1:22" x14ac:dyDescent="0.25">
      <c r="A13" s="33" t="s">
        <v>54</v>
      </c>
      <c r="B13" s="34" t="s">
        <v>55</v>
      </c>
      <c r="C13" s="34" t="s">
        <v>89</v>
      </c>
      <c r="D13" s="34" t="s">
        <v>71</v>
      </c>
      <c r="E13" s="34"/>
      <c r="F13" s="34"/>
      <c r="G13" s="34" t="s">
        <v>168</v>
      </c>
      <c r="I13" s="16">
        <v>10</v>
      </c>
      <c r="J13" s="39" t="str">
        <f t="shared" si="0"/>
        <v>Опарське ВУПЗГ.ПСГ Опарське.ВОГ ПСГ.ПВВГ.Q</v>
      </c>
      <c r="K13" s="19" t="s">
        <v>68</v>
      </c>
      <c r="L13" s="19" t="s">
        <v>158</v>
      </c>
      <c r="M13" s="19" t="s">
        <v>7</v>
      </c>
      <c r="N13" s="19" t="s">
        <v>31</v>
      </c>
      <c r="O13" s="19"/>
      <c r="P13" s="19" t="s">
        <v>13</v>
      </c>
      <c r="Q13" s="19" t="s">
        <v>51</v>
      </c>
      <c r="R13" s="19" t="s">
        <v>142</v>
      </c>
      <c r="S13" s="20"/>
      <c r="T13" s="19" t="s">
        <v>50</v>
      </c>
      <c r="U13" s="20" t="s">
        <v>17</v>
      </c>
    </row>
    <row r="14" spans="1:22" x14ac:dyDescent="0.25">
      <c r="A14" s="31" t="s">
        <v>54</v>
      </c>
      <c r="B14" s="32" t="s">
        <v>55</v>
      </c>
      <c r="C14" s="32" t="s">
        <v>89</v>
      </c>
      <c r="D14" s="32" t="s">
        <v>71</v>
      </c>
      <c r="E14" s="34" t="s">
        <v>214</v>
      </c>
      <c r="F14" s="32"/>
      <c r="G14" s="32" t="s">
        <v>170</v>
      </c>
      <c r="I14" s="16">
        <v>11</v>
      </c>
      <c r="J14" s="39" t="str">
        <f t="shared" si="0"/>
        <v>Опарське ВУПЗГ.ПСГ Опарське.ВОГ ПСГ.ПВВГ.закачка.E</v>
      </c>
      <c r="K14" s="19" t="s">
        <v>66</v>
      </c>
      <c r="L14" s="19" t="s">
        <v>70</v>
      </c>
      <c r="M14" s="19" t="s">
        <v>7</v>
      </c>
      <c r="N14" s="19" t="s">
        <v>31</v>
      </c>
      <c r="O14" s="19"/>
      <c r="P14" s="19" t="s">
        <v>13</v>
      </c>
      <c r="Q14" s="19" t="s">
        <v>51</v>
      </c>
      <c r="R14" s="19" t="s">
        <v>142</v>
      </c>
      <c r="S14" s="20"/>
      <c r="T14" s="19" t="s">
        <v>50</v>
      </c>
      <c r="U14" s="20" t="s">
        <v>17</v>
      </c>
    </row>
    <row r="15" spans="1:22" x14ac:dyDescent="0.25">
      <c r="A15" s="33" t="s">
        <v>54</v>
      </c>
      <c r="B15" s="34" t="s">
        <v>55</v>
      </c>
      <c r="C15" s="34" t="s">
        <v>89</v>
      </c>
      <c r="D15" s="34" t="s">
        <v>71</v>
      </c>
      <c r="E15" s="32" t="s">
        <v>215</v>
      </c>
      <c r="F15" s="34"/>
      <c r="G15" s="34" t="s">
        <v>170</v>
      </c>
      <c r="I15" s="16">
        <v>12</v>
      </c>
      <c r="J15" s="39" t="str">
        <f t="shared" si="0"/>
        <v>Опарське ВУПЗГ.ПСГ Опарське.ВОГ ПСГ.ПВВГ.відбір.E</v>
      </c>
      <c r="K15" s="19" t="s">
        <v>67</v>
      </c>
      <c r="L15" s="19" t="s">
        <v>70</v>
      </c>
      <c r="M15" s="19" t="s">
        <v>7</v>
      </c>
      <c r="N15" s="19" t="s">
        <v>31</v>
      </c>
      <c r="O15" s="19"/>
      <c r="P15" s="19" t="s">
        <v>13</v>
      </c>
      <c r="Q15" s="19" t="s">
        <v>51</v>
      </c>
      <c r="R15" s="19" t="s">
        <v>142</v>
      </c>
      <c r="S15" s="20"/>
      <c r="T15" s="19" t="s">
        <v>50</v>
      </c>
      <c r="U15" s="20" t="s">
        <v>17</v>
      </c>
    </row>
    <row r="16" spans="1:22" x14ac:dyDescent="0.25">
      <c r="A16" s="31" t="s">
        <v>54</v>
      </c>
      <c r="B16" s="32" t="s">
        <v>55</v>
      </c>
      <c r="C16" s="32" t="s">
        <v>89</v>
      </c>
      <c r="D16" s="32" t="s">
        <v>71</v>
      </c>
      <c r="E16" s="32"/>
      <c r="F16" s="32"/>
      <c r="G16" s="32" t="s">
        <v>170</v>
      </c>
      <c r="I16" s="16">
        <v>13</v>
      </c>
      <c r="J16" s="39" t="str">
        <f t="shared" si="0"/>
        <v>Опарське ВУПЗГ.ПСГ Опарське.ВОГ ПСГ.ПВВГ.E</v>
      </c>
      <c r="K16" s="19" t="s">
        <v>68</v>
      </c>
      <c r="L16" s="19" t="s">
        <v>70</v>
      </c>
      <c r="M16" s="19" t="s">
        <v>7</v>
      </c>
      <c r="N16" s="19" t="s">
        <v>31</v>
      </c>
      <c r="O16" s="19"/>
      <c r="P16" s="19" t="s">
        <v>13</v>
      </c>
      <c r="Q16" s="19" t="s">
        <v>51</v>
      </c>
      <c r="R16" s="19" t="s">
        <v>142</v>
      </c>
      <c r="S16" s="20"/>
      <c r="T16" s="19" t="s">
        <v>50</v>
      </c>
      <c r="U16" s="20" t="s">
        <v>17</v>
      </c>
    </row>
    <row r="17" spans="1:21" x14ac:dyDescent="0.25">
      <c r="A17" s="33" t="s">
        <v>54</v>
      </c>
      <c r="B17" s="34" t="s">
        <v>86</v>
      </c>
      <c r="C17" s="34" t="s">
        <v>85</v>
      </c>
      <c r="D17" s="34" t="s">
        <v>71</v>
      </c>
      <c r="E17" s="34"/>
      <c r="F17" s="34"/>
      <c r="G17" s="34" t="s">
        <v>168</v>
      </c>
      <c r="I17" s="16">
        <v>14</v>
      </c>
      <c r="J17" s="39" t="str">
        <f t="shared" si="0"/>
        <v>Опарське ВУПЗГ.ДКС Опари.ВТВ.ПВВГ.Q</v>
      </c>
      <c r="K17" s="19" t="s">
        <v>88</v>
      </c>
      <c r="L17" s="24" t="s">
        <v>158</v>
      </c>
      <c r="M17" s="19" t="s">
        <v>7</v>
      </c>
      <c r="N17" s="19" t="s">
        <v>31</v>
      </c>
      <c r="O17" s="19"/>
      <c r="P17" s="19" t="s">
        <v>13</v>
      </c>
      <c r="Q17" s="19" t="s">
        <v>51</v>
      </c>
      <c r="R17" s="19" t="s">
        <v>142</v>
      </c>
      <c r="S17" s="20"/>
      <c r="T17" s="19" t="s">
        <v>50</v>
      </c>
      <c r="U17" s="20" t="s">
        <v>17</v>
      </c>
    </row>
    <row r="18" spans="1:21" s="29" customFormat="1" x14ac:dyDescent="0.25">
      <c r="A18" s="32" t="s">
        <v>54</v>
      </c>
      <c r="B18" s="32" t="s">
        <v>86</v>
      </c>
      <c r="C18" s="32" t="s">
        <v>85</v>
      </c>
      <c r="D18" s="32" t="s">
        <v>71</v>
      </c>
      <c r="E18" s="34" t="s">
        <v>214</v>
      </c>
      <c r="F18" s="32" t="s">
        <v>217</v>
      </c>
      <c r="G18" s="32" t="s">
        <v>168</v>
      </c>
      <c r="H18" s="21"/>
      <c r="I18" s="16">
        <v>15</v>
      </c>
      <c r="J18" s="39" t="str">
        <f t="shared" si="0"/>
        <v>Опарське ВУПЗГ.ДКС Опари.ВТВ.ПВВГ.закачка.після ВОГ.Q</v>
      </c>
      <c r="K18" s="27" t="s">
        <v>72</v>
      </c>
      <c r="L18" s="27" t="s">
        <v>158</v>
      </c>
      <c r="M18" s="27" t="s">
        <v>7</v>
      </c>
      <c r="N18" s="27" t="s">
        <v>31</v>
      </c>
      <c r="O18" s="27"/>
      <c r="P18" s="27" t="s">
        <v>13</v>
      </c>
      <c r="Q18" s="27" t="s">
        <v>51</v>
      </c>
      <c r="R18" s="27" t="s">
        <v>142</v>
      </c>
      <c r="S18" s="28"/>
      <c r="T18" s="27" t="s">
        <v>50</v>
      </c>
      <c r="U18" s="28" t="s">
        <v>17</v>
      </c>
    </row>
    <row r="19" spans="1:21" x14ac:dyDescent="0.25">
      <c r="A19" s="33" t="s">
        <v>54</v>
      </c>
      <c r="B19" s="34" t="s">
        <v>86</v>
      </c>
      <c r="C19" s="34" t="s">
        <v>85</v>
      </c>
      <c r="D19" s="34" t="s">
        <v>71</v>
      </c>
      <c r="E19" s="32" t="s">
        <v>215</v>
      </c>
      <c r="F19" s="32" t="s">
        <v>217</v>
      </c>
      <c r="G19" s="34" t="s">
        <v>168</v>
      </c>
      <c r="I19" s="16">
        <v>16</v>
      </c>
      <c r="J19" s="39" t="str">
        <f t="shared" si="0"/>
        <v>Опарське ВУПЗГ.ДКС Опари.ВТВ.ПВВГ.відбір.після ВОГ.Q</v>
      </c>
      <c r="K19" s="19" t="s">
        <v>73</v>
      </c>
      <c r="L19" s="19" t="s">
        <v>158</v>
      </c>
      <c r="M19" s="19" t="s">
        <v>7</v>
      </c>
      <c r="N19" s="19" t="s">
        <v>31</v>
      </c>
      <c r="O19" s="19"/>
      <c r="P19" s="19" t="s">
        <v>13</v>
      </c>
      <c r="Q19" s="19" t="s">
        <v>51</v>
      </c>
      <c r="R19" s="19" t="s">
        <v>142</v>
      </c>
      <c r="S19" s="20"/>
      <c r="T19" s="19" t="s">
        <v>50</v>
      </c>
      <c r="U19" s="20" t="s">
        <v>17</v>
      </c>
    </row>
    <row r="20" spans="1:21" x14ac:dyDescent="0.25">
      <c r="A20" s="31" t="s">
        <v>54</v>
      </c>
      <c r="B20" s="32" t="s">
        <v>86</v>
      </c>
      <c r="C20" s="32" t="s">
        <v>85</v>
      </c>
      <c r="D20" s="32" t="s">
        <v>71</v>
      </c>
      <c r="E20" s="32" t="s">
        <v>215</v>
      </c>
      <c r="F20" s="34" t="s">
        <v>216</v>
      </c>
      <c r="G20" s="32" t="s">
        <v>168</v>
      </c>
      <c r="I20" s="16">
        <v>17</v>
      </c>
      <c r="J20" s="39" t="str">
        <f t="shared" si="0"/>
        <v>Опарське ВУПЗГ.ДКС Опари.ВТВ.ПВВГ.відбір.до ВОГ.Q</v>
      </c>
      <c r="K20" s="19" t="s">
        <v>74</v>
      </c>
      <c r="L20" s="19" t="s">
        <v>158</v>
      </c>
      <c r="M20" s="19" t="s">
        <v>7</v>
      </c>
      <c r="N20" s="19" t="s">
        <v>31</v>
      </c>
      <c r="O20" s="19"/>
      <c r="P20" s="19" t="s">
        <v>13</v>
      </c>
      <c r="Q20" s="19" t="s">
        <v>51</v>
      </c>
      <c r="R20" s="19" t="s">
        <v>142</v>
      </c>
      <c r="S20" s="20"/>
      <c r="T20" s="19" t="s">
        <v>50</v>
      </c>
      <c r="U20" s="20" t="s">
        <v>17</v>
      </c>
    </row>
    <row r="21" spans="1:21" x14ac:dyDescent="0.25">
      <c r="A21" s="33" t="s">
        <v>54</v>
      </c>
      <c r="B21" s="34" t="s">
        <v>86</v>
      </c>
      <c r="C21" s="34" t="s">
        <v>85</v>
      </c>
      <c r="D21" s="34" t="s">
        <v>71</v>
      </c>
      <c r="E21" s="34"/>
      <c r="F21" s="32"/>
      <c r="G21" s="34" t="s">
        <v>168</v>
      </c>
      <c r="I21" s="16">
        <v>18</v>
      </c>
      <c r="J21" s="39" t="str">
        <f t="shared" si="0"/>
        <v>Опарське ВУПЗГ.ДКС Опари.ВТВ.ПВВГ.Q</v>
      </c>
      <c r="K21" s="19" t="s">
        <v>97</v>
      </c>
      <c r="L21" s="19" t="s">
        <v>158</v>
      </c>
      <c r="M21" s="19" t="s">
        <v>7</v>
      </c>
      <c r="N21" s="19" t="s">
        <v>31</v>
      </c>
      <c r="O21" s="19"/>
      <c r="P21" s="19" t="s">
        <v>13</v>
      </c>
      <c r="Q21" s="19" t="s">
        <v>51</v>
      </c>
      <c r="R21" s="19" t="s">
        <v>142</v>
      </c>
      <c r="S21" s="20"/>
      <c r="T21" s="19" t="s">
        <v>50</v>
      </c>
      <c r="U21" s="20" t="s">
        <v>17</v>
      </c>
    </row>
    <row r="22" spans="1:21" x14ac:dyDescent="0.25">
      <c r="A22" s="31" t="s">
        <v>54</v>
      </c>
      <c r="B22" s="32" t="s">
        <v>86</v>
      </c>
      <c r="C22" s="32" t="s">
        <v>85</v>
      </c>
      <c r="D22" s="32" t="s">
        <v>71</v>
      </c>
      <c r="E22" s="34" t="s">
        <v>214</v>
      </c>
      <c r="F22" s="32" t="s">
        <v>217</v>
      </c>
      <c r="G22" s="32" t="s">
        <v>168</v>
      </c>
      <c r="I22" s="16">
        <v>19</v>
      </c>
      <c r="J22" s="39" t="str">
        <f t="shared" si="0"/>
        <v>Опарське ВУПЗГ.ДКС Опари.ВТВ.ПВВГ.закачка.після ВОГ.Q</v>
      </c>
      <c r="K22" s="19" t="s">
        <v>75</v>
      </c>
      <c r="L22" s="19" t="s">
        <v>158</v>
      </c>
      <c r="M22" s="19" t="s">
        <v>7</v>
      </c>
      <c r="N22" s="19" t="s">
        <v>31</v>
      </c>
      <c r="O22" s="19"/>
      <c r="P22" s="19" t="s">
        <v>13</v>
      </c>
      <c r="Q22" s="19" t="s">
        <v>51</v>
      </c>
      <c r="R22" s="19" t="s">
        <v>142</v>
      </c>
      <c r="S22" s="20"/>
      <c r="T22" s="19" t="s">
        <v>50</v>
      </c>
      <c r="U22" s="20" t="s">
        <v>17</v>
      </c>
    </row>
    <row r="23" spans="1:21" x14ac:dyDescent="0.25">
      <c r="A23" s="33" t="s">
        <v>54</v>
      </c>
      <c r="B23" s="34" t="s">
        <v>86</v>
      </c>
      <c r="C23" s="34" t="s">
        <v>85</v>
      </c>
      <c r="D23" s="34" t="s">
        <v>71</v>
      </c>
      <c r="E23" s="32" t="s">
        <v>215</v>
      </c>
      <c r="F23" s="32" t="s">
        <v>217</v>
      </c>
      <c r="G23" s="34" t="s">
        <v>168</v>
      </c>
      <c r="I23" s="16">
        <v>20</v>
      </c>
      <c r="J23" s="39" t="str">
        <f t="shared" si="0"/>
        <v>Опарське ВУПЗГ.ДКС Опари.ВТВ.ПВВГ.відбір.після ВОГ.Q</v>
      </c>
      <c r="K23" s="19" t="s">
        <v>76</v>
      </c>
      <c r="L23" s="19" t="s">
        <v>158</v>
      </c>
      <c r="M23" s="19" t="s">
        <v>7</v>
      </c>
      <c r="N23" s="19" t="s">
        <v>31</v>
      </c>
      <c r="O23" s="19"/>
      <c r="P23" s="19" t="s">
        <v>13</v>
      </c>
      <c r="Q23" s="19" t="s">
        <v>51</v>
      </c>
      <c r="R23" s="19" t="s">
        <v>142</v>
      </c>
      <c r="S23" s="20"/>
      <c r="T23" s="19" t="s">
        <v>50</v>
      </c>
      <c r="U23" s="20" t="s">
        <v>17</v>
      </c>
    </row>
    <row r="24" spans="1:21" x14ac:dyDescent="0.25">
      <c r="A24" s="31" t="s">
        <v>54</v>
      </c>
      <c r="B24" s="32" t="s">
        <v>86</v>
      </c>
      <c r="C24" s="32" t="s">
        <v>85</v>
      </c>
      <c r="D24" s="32" t="s">
        <v>71</v>
      </c>
      <c r="E24" s="32" t="s">
        <v>215</v>
      </c>
      <c r="F24" s="34" t="s">
        <v>216</v>
      </c>
      <c r="G24" s="32" t="s">
        <v>168</v>
      </c>
      <c r="I24" s="16">
        <v>21</v>
      </c>
      <c r="J24" s="39" t="str">
        <f t="shared" si="0"/>
        <v>Опарське ВУПЗГ.ДКС Опари.ВТВ.ПВВГ.відбір.до ВОГ.Q</v>
      </c>
      <c r="K24" s="19" t="s">
        <v>77</v>
      </c>
      <c r="L24" s="19" t="s">
        <v>158</v>
      </c>
      <c r="M24" s="19" t="s">
        <v>7</v>
      </c>
      <c r="N24" s="19" t="s">
        <v>31</v>
      </c>
      <c r="O24" s="19"/>
      <c r="P24" s="19" t="s">
        <v>13</v>
      </c>
      <c r="Q24" s="19" t="s">
        <v>51</v>
      </c>
      <c r="R24" s="19" t="s">
        <v>142</v>
      </c>
      <c r="S24" s="20"/>
      <c r="T24" s="19" t="s">
        <v>50</v>
      </c>
      <c r="U24" s="20" t="s">
        <v>17</v>
      </c>
    </row>
    <row r="25" spans="1:21" x14ac:dyDescent="0.25">
      <c r="A25" s="33" t="s">
        <v>54</v>
      </c>
      <c r="B25" s="34" t="s">
        <v>86</v>
      </c>
      <c r="C25" s="34" t="s">
        <v>85</v>
      </c>
      <c r="D25" s="34" t="s">
        <v>71</v>
      </c>
      <c r="E25" s="34" t="s">
        <v>214</v>
      </c>
      <c r="F25" s="32" t="s">
        <v>217</v>
      </c>
      <c r="G25" s="34" t="s">
        <v>168</v>
      </c>
      <c r="I25" s="16">
        <v>22</v>
      </c>
      <c r="J25" s="39" t="str">
        <f t="shared" si="0"/>
        <v>Опарське ВУПЗГ.ДКС Опари.ВТВ.ПВВГ.закачка.після ВОГ.Q</v>
      </c>
      <c r="K25" s="19" t="s">
        <v>78</v>
      </c>
      <c r="L25" s="19" t="s">
        <v>158</v>
      </c>
      <c r="M25" s="19" t="s">
        <v>7</v>
      </c>
      <c r="N25" s="19" t="s">
        <v>31</v>
      </c>
      <c r="O25" s="19"/>
      <c r="P25" s="19" t="s">
        <v>13</v>
      </c>
      <c r="Q25" s="19" t="s">
        <v>51</v>
      </c>
      <c r="R25" s="19" t="s">
        <v>142</v>
      </c>
      <c r="S25" s="20"/>
      <c r="T25" s="19" t="s">
        <v>50</v>
      </c>
      <c r="U25" s="20" t="s">
        <v>17</v>
      </c>
    </row>
    <row r="26" spans="1:21" x14ac:dyDescent="0.25">
      <c r="A26" s="31" t="s">
        <v>54</v>
      </c>
      <c r="B26" s="32" t="s">
        <v>86</v>
      </c>
      <c r="C26" s="32" t="s">
        <v>85</v>
      </c>
      <c r="D26" s="32" t="s">
        <v>71</v>
      </c>
      <c r="E26" s="32" t="s">
        <v>215</v>
      </c>
      <c r="F26" s="32" t="s">
        <v>217</v>
      </c>
      <c r="G26" s="32" t="s">
        <v>168</v>
      </c>
      <c r="I26" s="16">
        <v>23</v>
      </c>
      <c r="J26" s="39" t="str">
        <f t="shared" si="0"/>
        <v>Опарське ВУПЗГ.ДКС Опари.ВТВ.ПВВГ.відбір.після ВОГ.Q</v>
      </c>
      <c r="K26" s="19" t="s">
        <v>79</v>
      </c>
      <c r="L26" s="19" t="s">
        <v>158</v>
      </c>
      <c r="M26" s="19" t="s">
        <v>7</v>
      </c>
      <c r="N26" s="19" t="s">
        <v>31</v>
      </c>
      <c r="O26" s="19"/>
      <c r="P26" s="19" t="s">
        <v>13</v>
      </c>
      <c r="Q26" s="19" t="s">
        <v>51</v>
      </c>
      <c r="R26" s="19" t="s">
        <v>142</v>
      </c>
      <c r="S26" s="20"/>
      <c r="T26" s="19" t="s">
        <v>50</v>
      </c>
      <c r="U26" s="20" t="s">
        <v>17</v>
      </c>
    </row>
    <row r="27" spans="1:21" x14ac:dyDescent="0.25">
      <c r="A27" s="33" t="s">
        <v>54</v>
      </c>
      <c r="B27" s="34" t="s">
        <v>86</v>
      </c>
      <c r="C27" s="34" t="s">
        <v>85</v>
      </c>
      <c r="D27" s="34" t="s">
        <v>71</v>
      </c>
      <c r="E27" s="32" t="s">
        <v>215</v>
      </c>
      <c r="F27" s="34" t="s">
        <v>216</v>
      </c>
      <c r="G27" s="34" t="s">
        <v>168</v>
      </c>
      <c r="I27" s="16">
        <v>24</v>
      </c>
      <c r="J27" s="39" t="str">
        <f t="shared" si="0"/>
        <v>Опарське ВУПЗГ.ДКС Опари.ВТВ.ПВВГ.відбір.до ВОГ.Q</v>
      </c>
      <c r="K27" s="19" t="s">
        <v>80</v>
      </c>
      <c r="L27" s="19" t="s">
        <v>158</v>
      </c>
      <c r="M27" s="19" t="s">
        <v>7</v>
      </c>
      <c r="N27" s="19" t="s">
        <v>31</v>
      </c>
      <c r="O27" s="19"/>
      <c r="P27" s="19" t="s">
        <v>13</v>
      </c>
      <c r="Q27" s="19" t="s">
        <v>51</v>
      </c>
      <c r="R27" s="19" t="s">
        <v>142</v>
      </c>
      <c r="S27" s="20"/>
      <c r="T27" s="19" t="s">
        <v>50</v>
      </c>
      <c r="U27" s="20" t="s">
        <v>17</v>
      </c>
    </row>
    <row r="28" spans="1:21" x14ac:dyDescent="0.25">
      <c r="A28" s="31" t="s">
        <v>54</v>
      </c>
      <c r="B28" s="32" t="s">
        <v>55</v>
      </c>
      <c r="C28" s="32" t="s">
        <v>85</v>
      </c>
      <c r="D28" s="32" t="s">
        <v>71</v>
      </c>
      <c r="E28" s="34"/>
      <c r="F28" s="32"/>
      <c r="G28" s="32" t="s">
        <v>168</v>
      </c>
      <c r="I28" s="16">
        <v>25</v>
      </c>
      <c r="J28" s="39" t="str">
        <f t="shared" si="0"/>
        <v>Опарське ВУПЗГ.ПСГ Опарське.ВТВ.ПВВГ.Q</v>
      </c>
      <c r="K28" s="19" t="s">
        <v>81</v>
      </c>
      <c r="L28" s="19" t="s">
        <v>158</v>
      </c>
      <c r="M28" s="19" t="s">
        <v>7</v>
      </c>
      <c r="N28" s="19" t="s">
        <v>31</v>
      </c>
      <c r="O28" s="19"/>
      <c r="P28" s="19" t="s">
        <v>13</v>
      </c>
      <c r="Q28" s="19" t="s">
        <v>51</v>
      </c>
      <c r="R28" s="19" t="s">
        <v>142</v>
      </c>
      <c r="S28" s="20"/>
      <c r="T28" s="19" t="s">
        <v>50</v>
      </c>
      <c r="U28" s="20" t="s">
        <v>17</v>
      </c>
    </row>
    <row r="29" spans="1:21" x14ac:dyDescent="0.25">
      <c r="A29" s="33" t="s">
        <v>54</v>
      </c>
      <c r="B29" s="34" t="s">
        <v>55</v>
      </c>
      <c r="C29" s="34" t="s">
        <v>85</v>
      </c>
      <c r="D29" s="34" t="s">
        <v>71</v>
      </c>
      <c r="E29" s="34" t="s">
        <v>214</v>
      </c>
      <c r="F29" s="32" t="s">
        <v>217</v>
      </c>
      <c r="G29" s="34" t="s">
        <v>168</v>
      </c>
      <c r="I29" s="16">
        <v>26</v>
      </c>
      <c r="J29" s="39" t="str">
        <f t="shared" si="0"/>
        <v>Опарське ВУПЗГ.ПСГ Опарське.ВТВ.ПВВГ.закачка.після ВОГ.Q</v>
      </c>
      <c r="K29" s="19" t="s">
        <v>82</v>
      </c>
      <c r="L29" s="19" t="s">
        <v>158</v>
      </c>
      <c r="M29" s="19" t="s">
        <v>7</v>
      </c>
      <c r="N29" s="19" t="s">
        <v>31</v>
      </c>
      <c r="O29" s="19"/>
      <c r="P29" s="19" t="s">
        <v>13</v>
      </c>
      <c r="Q29" s="19" t="s">
        <v>51</v>
      </c>
      <c r="R29" s="19" t="s">
        <v>142</v>
      </c>
      <c r="S29" s="20"/>
      <c r="T29" s="19" t="s">
        <v>50</v>
      </c>
      <c r="U29" s="20" t="s">
        <v>17</v>
      </c>
    </row>
    <row r="30" spans="1:21" x14ac:dyDescent="0.25">
      <c r="A30" s="31" t="s">
        <v>54</v>
      </c>
      <c r="B30" s="32" t="s">
        <v>55</v>
      </c>
      <c r="C30" s="32" t="s">
        <v>85</v>
      </c>
      <c r="D30" s="32" t="s">
        <v>71</v>
      </c>
      <c r="E30" s="32" t="s">
        <v>215</v>
      </c>
      <c r="F30" s="32" t="s">
        <v>217</v>
      </c>
      <c r="G30" s="32" t="s">
        <v>168</v>
      </c>
      <c r="I30" s="16">
        <v>27</v>
      </c>
      <c r="J30" s="39" t="str">
        <f t="shared" si="0"/>
        <v>Опарське ВУПЗГ.ПСГ Опарське.ВТВ.ПВВГ.відбір.після ВОГ.Q</v>
      </c>
      <c r="K30" s="19" t="s">
        <v>83</v>
      </c>
      <c r="L30" s="19" t="s">
        <v>158</v>
      </c>
      <c r="M30" s="19" t="s">
        <v>7</v>
      </c>
      <c r="N30" s="19" t="s">
        <v>31</v>
      </c>
      <c r="O30" s="19"/>
      <c r="P30" s="19" t="s">
        <v>13</v>
      </c>
      <c r="Q30" s="19" t="s">
        <v>51</v>
      </c>
      <c r="R30" s="19" t="s">
        <v>142</v>
      </c>
      <c r="S30" s="20"/>
      <c r="T30" s="19" t="s">
        <v>50</v>
      </c>
      <c r="U30" s="20" t="s">
        <v>17</v>
      </c>
    </row>
    <row r="31" spans="1:21" x14ac:dyDescent="0.25">
      <c r="A31" s="33" t="s">
        <v>54</v>
      </c>
      <c r="B31" s="34" t="s">
        <v>55</v>
      </c>
      <c r="C31" s="34" t="s">
        <v>85</v>
      </c>
      <c r="D31" s="34" t="s">
        <v>71</v>
      </c>
      <c r="E31" s="32" t="s">
        <v>215</v>
      </c>
      <c r="F31" s="34" t="s">
        <v>216</v>
      </c>
      <c r="G31" s="34" t="s">
        <v>168</v>
      </c>
      <c r="I31" s="16">
        <v>28</v>
      </c>
      <c r="J31" s="39" t="str">
        <f t="shared" si="0"/>
        <v>Опарське ВУПЗГ.ПСГ Опарське.ВТВ.ПВВГ.відбір.до ВОГ.Q</v>
      </c>
      <c r="K31" s="19" t="s">
        <v>84</v>
      </c>
      <c r="L31" s="19" t="s">
        <v>158</v>
      </c>
      <c r="M31" s="19" t="s">
        <v>7</v>
      </c>
      <c r="N31" s="19" t="s">
        <v>31</v>
      </c>
      <c r="O31" s="19"/>
      <c r="P31" s="19" t="s">
        <v>13</v>
      </c>
      <c r="Q31" s="19" t="s">
        <v>51</v>
      </c>
      <c r="R31" s="19" t="s">
        <v>142</v>
      </c>
      <c r="S31" s="20"/>
      <c r="T31" s="19" t="s">
        <v>50</v>
      </c>
      <c r="U31" s="20" t="s">
        <v>17</v>
      </c>
    </row>
    <row r="32" spans="1:21" x14ac:dyDescent="0.25">
      <c r="A32" s="31" t="s">
        <v>54</v>
      </c>
      <c r="B32" s="32" t="s">
        <v>86</v>
      </c>
      <c r="C32" s="32" t="s">
        <v>85</v>
      </c>
      <c r="D32" s="32" t="s">
        <v>71</v>
      </c>
      <c r="E32" s="34"/>
      <c r="F32" s="32"/>
      <c r="G32" s="32" t="s">
        <v>168</v>
      </c>
      <c r="I32" s="16">
        <v>29</v>
      </c>
      <c r="J32" s="39" t="str">
        <f t="shared" si="0"/>
        <v>Опарське ВУПЗГ.ДКС Опари.ВТВ.ПВВГ.Q</v>
      </c>
      <c r="K32" s="19" t="s">
        <v>87</v>
      </c>
      <c r="L32" s="19" t="s">
        <v>158</v>
      </c>
      <c r="M32" s="19" t="s">
        <v>7</v>
      </c>
      <c r="N32" s="19" t="s">
        <v>31</v>
      </c>
      <c r="O32" s="19"/>
      <c r="P32" s="19" t="s">
        <v>13</v>
      </c>
      <c r="Q32" s="19" t="s">
        <v>51</v>
      </c>
      <c r="R32" s="19" t="s">
        <v>142</v>
      </c>
      <c r="S32" s="20"/>
      <c r="T32" s="19" t="s">
        <v>50</v>
      </c>
      <c r="U32" s="20" t="s">
        <v>17</v>
      </c>
    </row>
    <row r="33" spans="1:21" x14ac:dyDescent="0.25">
      <c r="A33" s="33" t="s">
        <v>54</v>
      </c>
      <c r="B33" s="34" t="s">
        <v>86</v>
      </c>
      <c r="C33" s="34" t="s">
        <v>85</v>
      </c>
      <c r="D33" s="34" t="s">
        <v>71</v>
      </c>
      <c r="E33" s="34" t="s">
        <v>214</v>
      </c>
      <c r="F33" s="32" t="s">
        <v>217</v>
      </c>
      <c r="G33" s="34" t="s">
        <v>168</v>
      </c>
      <c r="I33" s="16">
        <v>30</v>
      </c>
      <c r="J33" s="39" t="str">
        <f t="shared" si="0"/>
        <v>Опарське ВУПЗГ.ДКС Опари.ВТВ.ПВВГ.закачка.після ВОГ.Q</v>
      </c>
      <c r="K33" s="19" t="s">
        <v>90</v>
      </c>
      <c r="L33" s="19" t="s">
        <v>158</v>
      </c>
      <c r="M33" s="19" t="s">
        <v>7</v>
      </c>
      <c r="N33" s="19" t="s">
        <v>31</v>
      </c>
      <c r="O33" s="19"/>
      <c r="P33" s="19" t="s">
        <v>13</v>
      </c>
      <c r="Q33" s="19" t="s">
        <v>51</v>
      </c>
      <c r="R33" s="19" t="s">
        <v>142</v>
      </c>
      <c r="S33" s="20"/>
      <c r="T33" s="19" t="s">
        <v>50</v>
      </c>
      <c r="U33" s="20" t="s">
        <v>17</v>
      </c>
    </row>
    <row r="34" spans="1:21" x14ac:dyDescent="0.25">
      <c r="A34" s="31" t="s">
        <v>54</v>
      </c>
      <c r="B34" s="32" t="s">
        <v>86</v>
      </c>
      <c r="C34" s="32" t="s">
        <v>85</v>
      </c>
      <c r="D34" s="32" t="s">
        <v>71</v>
      </c>
      <c r="E34" s="32" t="s">
        <v>215</v>
      </c>
      <c r="F34" s="32" t="s">
        <v>217</v>
      </c>
      <c r="G34" s="32" t="s">
        <v>168</v>
      </c>
      <c r="I34" s="16">
        <v>31</v>
      </c>
      <c r="J34" s="39" t="str">
        <f t="shared" si="0"/>
        <v>Опарське ВУПЗГ.ДКС Опари.ВТВ.ПВВГ.відбір.після ВОГ.Q</v>
      </c>
      <c r="K34" s="19" t="s">
        <v>91</v>
      </c>
      <c r="L34" s="19" t="s">
        <v>158</v>
      </c>
      <c r="M34" s="19" t="s">
        <v>7</v>
      </c>
      <c r="N34" s="19" t="s">
        <v>31</v>
      </c>
      <c r="O34" s="19"/>
      <c r="P34" s="19" t="s">
        <v>13</v>
      </c>
      <c r="Q34" s="19" t="s">
        <v>51</v>
      </c>
      <c r="R34" s="19" t="s">
        <v>142</v>
      </c>
      <c r="S34" s="20"/>
      <c r="T34" s="19" t="s">
        <v>50</v>
      </c>
      <c r="U34" s="20" t="s">
        <v>17</v>
      </c>
    </row>
    <row r="35" spans="1:21" x14ac:dyDescent="0.25">
      <c r="A35" s="33" t="s">
        <v>54</v>
      </c>
      <c r="B35" s="34" t="s">
        <v>86</v>
      </c>
      <c r="C35" s="34" t="s">
        <v>85</v>
      </c>
      <c r="D35" s="34" t="s">
        <v>71</v>
      </c>
      <c r="E35" s="32" t="s">
        <v>215</v>
      </c>
      <c r="F35" s="34" t="s">
        <v>216</v>
      </c>
      <c r="G35" s="34" t="s">
        <v>168</v>
      </c>
      <c r="I35" s="16">
        <v>32</v>
      </c>
      <c r="J35" s="39" t="str">
        <f t="shared" si="0"/>
        <v>Опарське ВУПЗГ.ДКС Опари.ВТВ.ПВВГ.відбір.до ВОГ.Q</v>
      </c>
      <c r="K35" s="20" t="s">
        <v>92</v>
      </c>
      <c r="L35" s="19" t="s">
        <v>158</v>
      </c>
      <c r="M35" s="19" t="s">
        <v>7</v>
      </c>
      <c r="N35" s="19" t="s">
        <v>31</v>
      </c>
      <c r="O35" s="19"/>
      <c r="P35" s="19" t="s">
        <v>13</v>
      </c>
      <c r="Q35" s="19" t="s">
        <v>51</v>
      </c>
      <c r="R35" s="19" t="s">
        <v>142</v>
      </c>
      <c r="S35" s="20"/>
      <c r="T35" s="19" t="s">
        <v>50</v>
      </c>
      <c r="U35" s="20" t="s">
        <v>17</v>
      </c>
    </row>
    <row r="36" spans="1:21" x14ac:dyDescent="0.25">
      <c r="A36" s="31" t="s">
        <v>54</v>
      </c>
      <c r="B36" s="32" t="s">
        <v>86</v>
      </c>
      <c r="C36" s="32" t="s">
        <v>85</v>
      </c>
      <c r="D36" s="32" t="s">
        <v>71</v>
      </c>
      <c r="E36" s="34" t="s">
        <v>214</v>
      </c>
      <c r="F36" s="32" t="s">
        <v>217</v>
      </c>
      <c r="G36" s="32" t="s">
        <v>168</v>
      </c>
      <c r="I36" s="16">
        <v>33</v>
      </c>
      <c r="J36" s="39" t="str">
        <f t="shared" ref="J36:J67" si="1">CONCATENATE(IF(ISBLANK(A36),"",A36&amp;CHAR(46)), IF(ISBLANK(B36),"",B36&amp;CHAR(46)), IF(ISBLANK(C36),"",C36&amp;CHAR(46)),IF(ISBLANK(D36),"",D36&amp;CHAR(46)), IF(ISBLANK(E36),"",E36&amp;CHAR(46)),IF(ISBLANK(F36),"",F36&amp;CHAR(46)),IF(ISBLANK(G36),"",G36) )</f>
        <v>Опарське ВУПЗГ.ДКС Опари.ВТВ.ПВВГ.закачка.після ВОГ.Q</v>
      </c>
      <c r="K36" s="20" t="s">
        <v>93</v>
      </c>
      <c r="L36" s="19" t="s">
        <v>158</v>
      </c>
      <c r="M36" s="19" t="s">
        <v>7</v>
      </c>
      <c r="N36" s="19" t="s">
        <v>31</v>
      </c>
      <c r="O36" s="19"/>
      <c r="P36" s="19" t="s">
        <v>13</v>
      </c>
      <c r="Q36" s="19" t="s">
        <v>51</v>
      </c>
      <c r="R36" s="19" t="s">
        <v>142</v>
      </c>
      <c r="S36" s="20"/>
      <c r="T36" s="19" t="s">
        <v>50</v>
      </c>
      <c r="U36" s="20" t="s">
        <v>17</v>
      </c>
    </row>
    <row r="37" spans="1:21" x14ac:dyDescent="0.25">
      <c r="A37" s="33" t="s">
        <v>54</v>
      </c>
      <c r="B37" s="34" t="s">
        <v>86</v>
      </c>
      <c r="C37" s="34" t="s">
        <v>85</v>
      </c>
      <c r="D37" s="34" t="s">
        <v>71</v>
      </c>
      <c r="E37" s="32" t="s">
        <v>215</v>
      </c>
      <c r="F37" s="32" t="s">
        <v>217</v>
      </c>
      <c r="G37" s="34" t="s">
        <v>168</v>
      </c>
      <c r="I37" s="16">
        <v>34</v>
      </c>
      <c r="J37" s="39" t="str">
        <f t="shared" si="1"/>
        <v>Опарське ВУПЗГ.ДКС Опари.ВТВ.ПВВГ.відбір.після ВОГ.Q</v>
      </c>
      <c r="K37" s="20" t="s">
        <v>94</v>
      </c>
      <c r="L37" s="19" t="s">
        <v>158</v>
      </c>
      <c r="M37" s="19" t="s">
        <v>7</v>
      </c>
      <c r="N37" s="19" t="s">
        <v>31</v>
      </c>
      <c r="O37" s="19"/>
      <c r="P37" s="19" t="s">
        <v>13</v>
      </c>
      <c r="Q37" s="19" t="s">
        <v>51</v>
      </c>
      <c r="R37" s="19" t="s">
        <v>142</v>
      </c>
      <c r="S37" s="20"/>
      <c r="T37" s="19" t="s">
        <v>50</v>
      </c>
      <c r="U37" s="20" t="s">
        <v>17</v>
      </c>
    </row>
    <row r="38" spans="1:21" x14ac:dyDescent="0.25">
      <c r="A38" s="31" t="s">
        <v>54</v>
      </c>
      <c r="B38" s="32" t="s">
        <v>86</v>
      </c>
      <c r="C38" s="32" t="s">
        <v>85</v>
      </c>
      <c r="D38" s="32" t="s">
        <v>71</v>
      </c>
      <c r="E38" s="32" t="s">
        <v>215</v>
      </c>
      <c r="F38" s="34" t="s">
        <v>216</v>
      </c>
      <c r="G38" s="32" t="s">
        <v>168</v>
      </c>
      <c r="I38" s="16">
        <v>35</v>
      </c>
      <c r="J38" s="39" t="str">
        <f t="shared" si="1"/>
        <v>Опарське ВУПЗГ.ДКС Опари.ВТВ.ПВВГ.відбір.до ВОГ.Q</v>
      </c>
      <c r="K38" s="20" t="s">
        <v>95</v>
      </c>
      <c r="L38" s="19" t="s">
        <v>158</v>
      </c>
      <c r="M38" s="19" t="s">
        <v>7</v>
      </c>
      <c r="N38" s="19" t="s">
        <v>31</v>
      </c>
      <c r="O38" s="19"/>
      <c r="P38" s="19" t="s">
        <v>13</v>
      </c>
      <c r="Q38" s="19" t="s">
        <v>51</v>
      </c>
      <c r="R38" s="19" t="s">
        <v>142</v>
      </c>
      <c r="S38" s="20"/>
      <c r="T38" s="19" t="s">
        <v>50</v>
      </c>
      <c r="U38" s="20" t="s">
        <v>17</v>
      </c>
    </row>
    <row r="39" spans="1:21" s="21" customFormat="1" x14ac:dyDescent="0.25">
      <c r="A39" s="33" t="s">
        <v>54</v>
      </c>
      <c r="B39" s="34" t="s">
        <v>86</v>
      </c>
      <c r="C39" s="34" t="s">
        <v>85</v>
      </c>
      <c r="D39" s="34" t="s">
        <v>71</v>
      </c>
      <c r="E39" s="34"/>
      <c r="F39" s="32"/>
      <c r="G39" s="34" t="s">
        <v>168</v>
      </c>
      <c r="I39" s="16">
        <v>36</v>
      </c>
      <c r="J39" s="39" t="str">
        <f t="shared" si="1"/>
        <v>Опарське ВУПЗГ.ДКС Опари.ВТВ.ПВВГ.Q</v>
      </c>
      <c r="K39" s="20" t="s">
        <v>96</v>
      </c>
      <c r="L39" s="19" t="s">
        <v>158</v>
      </c>
      <c r="M39" s="19" t="s">
        <v>7</v>
      </c>
      <c r="N39" s="19" t="s">
        <v>31</v>
      </c>
      <c r="O39" s="19"/>
      <c r="P39" s="19" t="s">
        <v>13</v>
      </c>
      <c r="Q39" s="19" t="s">
        <v>51</v>
      </c>
      <c r="R39" s="19" t="s">
        <v>142</v>
      </c>
      <c r="S39" s="20"/>
      <c r="T39" s="19" t="s">
        <v>50</v>
      </c>
      <c r="U39" s="20" t="s">
        <v>17</v>
      </c>
    </row>
    <row r="40" spans="1:21" x14ac:dyDescent="0.25">
      <c r="A40" s="31" t="s">
        <v>54</v>
      </c>
      <c r="B40" s="32" t="s">
        <v>86</v>
      </c>
      <c r="C40" s="32" t="s">
        <v>85</v>
      </c>
      <c r="D40" s="32" t="s">
        <v>102</v>
      </c>
      <c r="E40" s="34" t="s">
        <v>214</v>
      </c>
      <c r="F40" s="32" t="s">
        <v>217</v>
      </c>
      <c r="G40" s="32" t="s">
        <v>168</v>
      </c>
      <c r="I40" s="16">
        <v>37</v>
      </c>
      <c r="J40" s="39" t="str">
        <f t="shared" si="1"/>
        <v>Опарське ВУПЗГ.ДКС Опари.ВТВ.СОУ.закачка.після ВОГ.Q</v>
      </c>
      <c r="K40" s="20" t="s">
        <v>98</v>
      </c>
      <c r="L40" s="19" t="s">
        <v>158</v>
      </c>
      <c r="M40" s="19" t="s">
        <v>7</v>
      </c>
      <c r="N40" s="19" t="s">
        <v>31</v>
      </c>
      <c r="O40" s="19"/>
      <c r="P40" s="19" t="s">
        <v>13</v>
      </c>
      <c r="Q40" s="19" t="s">
        <v>51</v>
      </c>
      <c r="R40" s="19" t="s">
        <v>142</v>
      </c>
      <c r="S40" s="20"/>
      <c r="T40" s="19" t="s">
        <v>50</v>
      </c>
      <c r="U40" s="20" t="s">
        <v>17</v>
      </c>
    </row>
    <row r="41" spans="1:21" x14ac:dyDescent="0.25">
      <c r="A41" s="33" t="s">
        <v>54</v>
      </c>
      <c r="B41" s="34" t="s">
        <v>86</v>
      </c>
      <c r="C41" s="34" t="s">
        <v>85</v>
      </c>
      <c r="D41" s="34" t="s">
        <v>102</v>
      </c>
      <c r="E41" s="34" t="s">
        <v>214</v>
      </c>
      <c r="F41" s="34" t="s">
        <v>216</v>
      </c>
      <c r="G41" s="34" t="s">
        <v>168</v>
      </c>
      <c r="I41" s="16">
        <v>38</v>
      </c>
      <c r="J41" s="39" t="str">
        <f t="shared" si="1"/>
        <v>Опарське ВУПЗГ.ДКС Опари.ВТВ.СОУ.закачка.до ВОГ.Q</v>
      </c>
      <c r="K41" s="19" t="s">
        <v>99</v>
      </c>
      <c r="L41" s="19" t="s">
        <v>158</v>
      </c>
      <c r="M41" s="19" t="s">
        <v>7</v>
      </c>
      <c r="N41" s="19" t="s">
        <v>31</v>
      </c>
      <c r="O41" s="19"/>
      <c r="P41" s="19" t="s">
        <v>13</v>
      </c>
      <c r="Q41" s="19" t="s">
        <v>51</v>
      </c>
      <c r="R41" s="19" t="s">
        <v>142</v>
      </c>
      <c r="S41" s="20"/>
      <c r="T41" s="19" t="s">
        <v>50</v>
      </c>
      <c r="U41" s="20" t="s">
        <v>17</v>
      </c>
    </row>
    <row r="42" spans="1:21" x14ac:dyDescent="0.25">
      <c r="A42" s="31" t="s">
        <v>54</v>
      </c>
      <c r="B42" s="32" t="s">
        <v>86</v>
      </c>
      <c r="C42" s="32" t="s">
        <v>85</v>
      </c>
      <c r="D42" s="32" t="s">
        <v>102</v>
      </c>
      <c r="E42" s="32" t="s">
        <v>215</v>
      </c>
      <c r="F42" s="32" t="s">
        <v>217</v>
      </c>
      <c r="G42" s="32" t="s">
        <v>168</v>
      </c>
      <c r="I42" s="16">
        <v>39</v>
      </c>
      <c r="J42" s="39" t="str">
        <f t="shared" si="1"/>
        <v>Опарське ВУПЗГ.ДКС Опари.ВТВ.СОУ.відбір.після ВОГ.Q</v>
      </c>
      <c r="K42" s="20" t="s">
        <v>100</v>
      </c>
      <c r="L42" s="19" t="s">
        <v>158</v>
      </c>
      <c r="M42" s="19" t="s">
        <v>7</v>
      </c>
      <c r="N42" s="19" t="s">
        <v>31</v>
      </c>
      <c r="O42" s="19"/>
      <c r="P42" s="19" t="s">
        <v>13</v>
      </c>
      <c r="Q42" s="19" t="s">
        <v>51</v>
      </c>
      <c r="R42" s="19" t="s">
        <v>142</v>
      </c>
      <c r="S42" s="20"/>
      <c r="T42" s="19" t="s">
        <v>50</v>
      </c>
      <c r="U42" s="20" t="s">
        <v>17</v>
      </c>
    </row>
    <row r="43" spans="1:21" x14ac:dyDescent="0.25">
      <c r="A43" s="33" t="s">
        <v>54</v>
      </c>
      <c r="B43" s="34" t="s">
        <v>86</v>
      </c>
      <c r="C43" s="34" t="s">
        <v>85</v>
      </c>
      <c r="D43" s="34" t="s">
        <v>102</v>
      </c>
      <c r="E43" s="32" t="s">
        <v>215</v>
      </c>
      <c r="F43" s="34" t="s">
        <v>216</v>
      </c>
      <c r="G43" s="34" t="s">
        <v>168</v>
      </c>
      <c r="I43" s="16">
        <v>40</v>
      </c>
      <c r="J43" s="39" t="str">
        <f t="shared" si="1"/>
        <v>Опарське ВУПЗГ.ДКС Опари.ВТВ.СОУ.відбір.до ВОГ.Q</v>
      </c>
      <c r="K43" s="20" t="s">
        <v>101</v>
      </c>
      <c r="L43" s="19" t="s">
        <v>158</v>
      </c>
      <c r="M43" s="19" t="s">
        <v>7</v>
      </c>
      <c r="N43" s="19" t="s">
        <v>31</v>
      </c>
      <c r="O43" s="19"/>
      <c r="P43" s="19" t="s">
        <v>13</v>
      </c>
      <c r="Q43" s="19" t="s">
        <v>51</v>
      </c>
      <c r="R43" s="19" t="s">
        <v>142</v>
      </c>
      <c r="S43" s="20"/>
      <c r="T43" s="19" t="s">
        <v>50</v>
      </c>
      <c r="U43" s="20" t="s">
        <v>17</v>
      </c>
    </row>
    <row r="44" spans="1:21" x14ac:dyDescent="0.25">
      <c r="A44" s="31" t="s">
        <v>54</v>
      </c>
      <c r="B44" s="32" t="s">
        <v>55</v>
      </c>
      <c r="C44" s="32" t="s">
        <v>85</v>
      </c>
      <c r="D44" s="32" t="s">
        <v>102</v>
      </c>
      <c r="E44" s="34" t="s">
        <v>214</v>
      </c>
      <c r="F44" s="32" t="s">
        <v>217</v>
      </c>
      <c r="G44" s="32" t="s">
        <v>168</v>
      </c>
      <c r="I44" s="16">
        <v>41</v>
      </c>
      <c r="J44" s="39" t="str">
        <f t="shared" si="1"/>
        <v>Опарське ВУПЗГ.ПСГ Опарське.ВТВ.СОУ.закачка.після ВОГ.Q</v>
      </c>
      <c r="K44" s="20" t="s">
        <v>98</v>
      </c>
      <c r="L44" s="19" t="s">
        <v>158</v>
      </c>
      <c r="M44" s="19" t="s">
        <v>7</v>
      </c>
      <c r="N44" s="19" t="s">
        <v>31</v>
      </c>
      <c r="O44" s="19"/>
      <c r="P44" s="19" t="s">
        <v>13</v>
      </c>
      <c r="Q44" s="19" t="s">
        <v>51</v>
      </c>
      <c r="R44" s="19" t="s">
        <v>142</v>
      </c>
      <c r="S44" s="20"/>
      <c r="T44" s="19" t="s">
        <v>50</v>
      </c>
      <c r="U44" s="20" t="s">
        <v>17</v>
      </c>
    </row>
    <row r="45" spans="1:21" x14ac:dyDescent="0.25">
      <c r="A45" s="33" t="s">
        <v>54</v>
      </c>
      <c r="B45" s="34" t="s">
        <v>55</v>
      </c>
      <c r="C45" s="34" t="s">
        <v>85</v>
      </c>
      <c r="D45" s="34" t="s">
        <v>102</v>
      </c>
      <c r="E45" s="34" t="s">
        <v>214</v>
      </c>
      <c r="F45" s="34" t="s">
        <v>216</v>
      </c>
      <c r="G45" s="34" t="s">
        <v>168</v>
      </c>
      <c r="I45" s="16">
        <v>42</v>
      </c>
      <c r="J45" s="39" t="str">
        <f t="shared" si="1"/>
        <v>Опарське ВУПЗГ.ПСГ Опарське.ВТВ.СОУ.закачка.до ВОГ.Q</v>
      </c>
      <c r="K45" s="20" t="s">
        <v>99</v>
      </c>
      <c r="L45" s="19" t="s">
        <v>158</v>
      </c>
      <c r="M45" s="19" t="s">
        <v>7</v>
      </c>
      <c r="N45" s="19" t="s">
        <v>31</v>
      </c>
      <c r="O45" s="19"/>
      <c r="P45" s="19" t="s">
        <v>13</v>
      </c>
      <c r="Q45" s="19" t="s">
        <v>51</v>
      </c>
      <c r="R45" s="19" t="s">
        <v>142</v>
      </c>
      <c r="S45" s="20"/>
      <c r="T45" s="19" t="s">
        <v>50</v>
      </c>
      <c r="U45" s="20" t="s">
        <v>17</v>
      </c>
    </row>
    <row r="46" spans="1:21" s="29" customFormat="1" x14ac:dyDescent="0.25">
      <c r="A46" s="33" t="s">
        <v>54</v>
      </c>
      <c r="B46" s="32" t="s">
        <v>55</v>
      </c>
      <c r="C46" s="32" t="s">
        <v>85</v>
      </c>
      <c r="D46" s="32" t="s">
        <v>102</v>
      </c>
      <c r="E46" s="32" t="s">
        <v>215</v>
      </c>
      <c r="F46" s="34" t="s">
        <v>216</v>
      </c>
      <c r="G46" s="32" t="s">
        <v>168</v>
      </c>
      <c r="I46" s="16">
        <v>43</v>
      </c>
      <c r="J46" s="39" t="str">
        <f t="shared" si="1"/>
        <v>Опарське ВУПЗГ.ПСГ Опарське.ВТВ.СОУ.відбір.до ВОГ.Q</v>
      </c>
      <c r="K46" s="27" t="s">
        <v>101</v>
      </c>
      <c r="L46" s="27" t="s">
        <v>158</v>
      </c>
      <c r="M46" s="27" t="s">
        <v>7</v>
      </c>
      <c r="N46" s="27" t="s">
        <v>31</v>
      </c>
      <c r="O46" s="27"/>
      <c r="P46" s="27" t="s">
        <v>13</v>
      </c>
      <c r="Q46" s="27" t="s">
        <v>51</v>
      </c>
      <c r="R46" s="27" t="s">
        <v>142</v>
      </c>
      <c r="S46" s="27"/>
      <c r="T46" s="27" t="s">
        <v>50</v>
      </c>
      <c r="U46" s="28" t="s">
        <v>17</v>
      </c>
    </row>
    <row r="47" spans="1:21" x14ac:dyDescent="0.25">
      <c r="A47" s="33" t="s">
        <v>54</v>
      </c>
      <c r="B47" s="32" t="s">
        <v>55</v>
      </c>
      <c r="C47" s="34" t="s">
        <v>85</v>
      </c>
      <c r="D47" s="34" t="s">
        <v>109</v>
      </c>
      <c r="E47" s="34" t="s">
        <v>214</v>
      </c>
      <c r="F47" s="34" t="s">
        <v>216</v>
      </c>
      <c r="G47" s="34" t="s">
        <v>168</v>
      </c>
      <c r="I47" s="16">
        <v>44</v>
      </c>
      <c r="J47" s="39" t="str">
        <f t="shared" si="1"/>
        <v>Опарське ВУПЗГ.ПСГ Опарське.ВТВ.Всього.закачка.до ВОГ.Q</v>
      </c>
      <c r="K47" s="19" t="s">
        <v>103</v>
      </c>
      <c r="L47" s="19" t="s">
        <v>158</v>
      </c>
      <c r="M47" s="19" t="s">
        <v>7</v>
      </c>
      <c r="N47" s="19" t="s">
        <v>31</v>
      </c>
      <c r="O47" s="19"/>
      <c r="P47" s="19" t="s">
        <v>13</v>
      </c>
      <c r="Q47" s="19" t="s">
        <v>51</v>
      </c>
      <c r="R47" s="19" t="s">
        <v>142</v>
      </c>
      <c r="S47" s="19" t="s">
        <v>51</v>
      </c>
      <c r="T47" s="19" t="s">
        <v>50</v>
      </c>
      <c r="U47" s="20" t="s">
        <v>17</v>
      </c>
    </row>
    <row r="48" spans="1:21" x14ac:dyDescent="0.25">
      <c r="A48" s="31" t="s">
        <v>54</v>
      </c>
      <c r="B48" s="32" t="s">
        <v>55</v>
      </c>
      <c r="C48" s="32" t="s">
        <v>85</v>
      </c>
      <c r="D48" s="32" t="s">
        <v>109</v>
      </c>
      <c r="E48" s="34" t="s">
        <v>214</v>
      </c>
      <c r="F48" s="32" t="s">
        <v>217</v>
      </c>
      <c r="G48" s="32" t="s">
        <v>168</v>
      </c>
      <c r="I48" s="16">
        <v>45</v>
      </c>
      <c r="J48" s="39" t="str">
        <f t="shared" si="1"/>
        <v>Опарське ВУПЗГ.ПСГ Опарське.ВТВ.Всього.закачка.після ВОГ.Q</v>
      </c>
      <c r="K48" s="19" t="s">
        <v>104</v>
      </c>
      <c r="L48" s="19" t="s">
        <v>158</v>
      </c>
      <c r="M48" s="19" t="s">
        <v>7</v>
      </c>
      <c r="N48" s="19" t="s">
        <v>31</v>
      </c>
      <c r="O48" s="19"/>
      <c r="P48" s="19" t="s">
        <v>13</v>
      </c>
      <c r="Q48" s="19" t="s">
        <v>51</v>
      </c>
      <c r="R48" s="19" t="s">
        <v>142</v>
      </c>
      <c r="S48" s="19" t="s">
        <v>50</v>
      </c>
      <c r="T48" s="19" t="s">
        <v>50</v>
      </c>
      <c r="U48" s="20" t="s">
        <v>17</v>
      </c>
    </row>
    <row r="49" spans="1:21" x14ac:dyDescent="0.25">
      <c r="A49" s="33" t="s">
        <v>54</v>
      </c>
      <c r="B49" s="32" t="s">
        <v>55</v>
      </c>
      <c r="C49" s="34" t="s">
        <v>85</v>
      </c>
      <c r="D49" s="34" t="s">
        <v>109</v>
      </c>
      <c r="E49" s="32" t="s">
        <v>215</v>
      </c>
      <c r="F49" s="34" t="s">
        <v>216</v>
      </c>
      <c r="G49" s="34" t="s">
        <v>168</v>
      </c>
      <c r="I49" s="16">
        <v>46</v>
      </c>
      <c r="J49" s="39" t="str">
        <f t="shared" si="1"/>
        <v>Опарське ВУПЗГ.ПСГ Опарське.ВТВ.Всього.відбір.до ВОГ.Q</v>
      </c>
      <c r="K49" s="19" t="s">
        <v>105</v>
      </c>
      <c r="L49" s="19" t="s">
        <v>158</v>
      </c>
      <c r="M49" s="19" t="s">
        <v>7</v>
      </c>
      <c r="N49" s="19" t="s">
        <v>31</v>
      </c>
      <c r="O49" s="19"/>
      <c r="P49" s="19" t="s">
        <v>13</v>
      </c>
      <c r="Q49" s="19" t="s">
        <v>51</v>
      </c>
      <c r="R49" s="19" t="s">
        <v>142</v>
      </c>
      <c r="S49" s="19" t="s">
        <v>172</v>
      </c>
      <c r="T49" s="19" t="s">
        <v>50</v>
      </c>
      <c r="U49" s="20" t="s">
        <v>17</v>
      </c>
    </row>
    <row r="50" spans="1:21" x14ac:dyDescent="0.25">
      <c r="A50" s="31" t="s">
        <v>54</v>
      </c>
      <c r="B50" s="32" t="s">
        <v>55</v>
      </c>
      <c r="C50" s="32" t="s">
        <v>85</v>
      </c>
      <c r="D50" s="32" t="s">
        <v>109</v>
      </c>
      <c r="E50" s="32" t="s">
        <v>215</v>
      </c>
      <c r="F50" s="32" t="s">
        <v>217</v>
      </c>
      <c r="G50" s="32" t="s">
        <v>168</v>
      </c>
      <c r="I50" s="16">
        <v>47</v>
      </c>
      <c r="J50" s="39" t="str">
        <f t="shared" si="1"/>
        <v>Опарське ВУПЗГ.ПСГ Опарське.ВТВ.Всього.відбір.після ВОГ.Q</v>
      </c>
      <c r="K50" s="20" t="s">
        <v>106</v>
      </c>
      <c r="L50" s="19" t="s">
        <v>158</v>
      </c>
      <c r="M50" s="19" t="s">
        <v>7</v>
      </c>
      <c r="N50" s="19" t="s">
        <v>31</v>
      </c>
      <c r="O50" s="19"/>
      <c r="P50" s="19" t="s">
        <v>13</v>
      </c>
      <c r="Q50" s="19" t="s">
        <v>51</v>
      </c>
      <c r="R50" s="19" t="s">
        <v>142</v>
      </c>
      <c r="S50" s="19" t="s">
        <v>173</v>
      </c>
      <c r="T50" s="19" t="s">
        <v>50</v>
      </c>
      <c r="U50" s="20" t="s">
        <v>17</v>
      </c>
    </row>
    <row r="51" spans="1:21" x14ac:dyDescent="0.25">
      <c r="A51" s="33" t="s">
        <v>54</v>
      </c>
      <c r="B51" s="34" t="s">
        <v>111</v>
      </c>
      <c r="C51" s="34" t="s">
        <v>85</v>
      </c>
      <c r="D51" s="34" t="s">
        <v>71</v>
      </c>
      <c r="E51" s="34"/>
      <c r="F51" s="34"/>
      <c r="G51" s="34" t="s">
        <v>168</v>
      </c>
      <c r="I51" s="16">
        <v>48</v>
      </c>
      <c r="J51" s="39" t="str">
        <f t="shared" si="1"/>
        <v>Опарське ВУПЗГ.ДКС Опари КЦ-1.ВТВ.ПВВГ.Q</v>
      </c>
      <c r="K51" s="20" t="s">
        <v>110</v>
      </c>
      <c r="L51" s="19" t="s">
        <v>158</v>
      </c>
      <c r="M51" s="19" t="s">
        <v>7</v>
      </c>
      <c r="N51" s="19" t="s">
        <v>31</v>
      </c>
      <c r="O51" s="19"/>
      <c r="P51" s="19" t="s">
        <v>13</v>
      </c>
      <c r="Q51" s="19" t="s">
        <v>51</v>
      </c>
      <c r="R51" s="19" t="s">
        <v>142</v>
      </c>
      <c r="S51" s="20"/>
      <c r="T51" s="19" t="s">
        <v>50</v>
      </c>
      <c r="U51" s="20" t="s">
        <v>17</v>
      </c>
    </row>
    <row r="52" spans="1:21" x14ac:dyDescent="0.25">
      <c r="A52" s="31" t="s">
        <v>54</v>
      </c>
      <c r="B52" s="32" t="s">
        <v>111</v>
      </c>
      <c r="C52" s="32" t="s">
        <v>85</v>
      </c>
      <c r="D52" s="32" t="s">
        <v>71</v>
      </c>
      <c r="E52" s="32"/>
      <c r="F52" s="32"/>
      <c r="G52" s="32" t="s">
        <v>168</v>
      </c>
      <c r="I52" s="16">
        <v>49</v>
      </c>
      <c r="J52" s="39" t="str">
        <f t="shared" si="1"/>
        <v>Опарське ВУПЗГ.ДКС Опари КЦ-1.ВТВ.ПВВГ.Q</v>
      </c>
      <c r="K52" s="20" t="s">
        <v>112</v>
      </c>
      <c r="L52" s="19" t="s">
        <v>158</v>
      </c>
      <c r="M52" s="19" t="s">
        <v>7</v>
      </c>
      <c r="N52" s="19" t="s">
        <v>31</v>
      </c>
      <c r="O52" s="19"/>
      <c r="P52" s="19" t="s">
        <v>13</v>
      </c>
      <c r="Q52" s="19" t="s">
        <v>51</v>
      </c>
      <c r="R52" s="19" t="s">
        <v>142</v>
      </c>
      <c r="S52" s="20"/>
      <c r="T52" s="19" t="s">
        <v>50</v>
      </c>
      <c r="U52" s="20" t="s">
        <v>17</v>
      </c>
    </row>
    <row r="53" spans="1:21" x14ac:dyDescent="0.25">
      <c r="A53" s="33" t="s">
        <v>54</v>
      </c>
      <c r="B53" s="34" t="s">
        <v>111</v>
      </c>
      <c r="C53" s="34" t="s">
        <v>85</v>
      </c>
      <c r="D53" s="34" t="s">
        <v>102</v>
      </c>
      <c r="E53" s="34"/>
      <c r="F53" s="34"/>
      <c r="G53" s="34" t="s">
        <v>168</v>
      </c>
      <c r="I53" s="16">
        <v>50</v>
      </c>
      <c r="J53" s="39" t="str">
        <f t="shared" si="1"/>
        <v>Опарське ВУПЗГ.ДКС Опари КЦ-1.ВТВ.СОУ.Q</v>
      </c>
      <c r="K53" s="20" t="s">
        <v>113</v>
      </c>
      <c r="L53" s="19" t="s">
        <v>158</v>
      </c>
      <c r="M53" s="19" t="s">
        <v>7</v>
      </c>
      <c r="N53" s="19" t="s">
        <v>31</v>
      </c>
      <c r="O53" s="19"/>
      <c r="P53" s="19" t="s">
        <v>13</v>
      </c>
      <c r="Q53" s="19" t="s">
        <v>51</v>
      </c>
      <c r="R53" s="19" t="s">
        <v>142</v>
      </c>
      <c r="S53" s="20"/>
      <c r="T53" s="19" t="s">
        <v>50</v>
      </c>
      <c r="U53" s="20" t="s">
        <v>17</v>
      </c>
    </row>
    <row r="54" spans="1:21" x14ac:dyDescent="0.25">
      <c r="A54" s="31" t="s">
        <v>54</v>
      </c>
      <c r="B54" s="32" t="s">
        <v>111</v>
      </c>
      <c r="C54" s="32" t="s">
        <v>85</v>
      </c>
      <c r="D54" s="32" t="s">
        <v>71</v>
      </c>
      <c r="E54" s="32"/>
      <c r="F54" s="32"/>
      <c r="G54" s="32" t="s">
        <v>168</v>
      </c>
      <c r="I54" s="16">
        <v>51</v>
      </c>
      <c r="J54" s="39" t="str">
        <f t="shared" si="1"/>
        <v>Опарське ВУПЗГ.ДКС Опари КЦ-1.ВТВ.ПВВГ.Q</v>
      </c>
      <c r="K54" s="20" t="s">
        <v>114</v>
      </c>
      <c r="L54" s="19" t="s">
        <v>158</v>
      </c>
      <c r="M54" s="19" t="s">
        <v>7</v>
      </c>
      <c r="N54" s="19" t="s">
        <v>31</v>
      </c>
      <c r="O54" s="19"/>
      <c r="P54" s="19" t="s">
        <v>13</v>
      </c>
      <c r="Q54" s="19" t="s">
        <v>51</v>
      </c>
      <c r="R54" s="19" t="s">
        <v>142</v>
      </c>
      <c r="S54" s="20"/>
      <c r="T54" s="19" t="s">
        <v>50</v>
      </c>
      <c r="U54" s="20" t="s">
        <v>17</v>
      </c>
    </row>
    <row r="55" spans="1:21" x14ac:dyDescent="0.25">
      <c r="A55" s="33" t="s">
        <v>54</v>
      </c>
      <c r="B55" s="34" t="s">
        <v>111</v>
      </c>
      <c r="C55" s="34" t="s">
        <v>85</v>
      </c>
      <c r="D55" s="34" t="s">
        <v>71</v>
      </c>
      <c r="E55" s="34"/>
      <c r="F55" s="34"/>
      <c r="G55" s="34" t="s">
        <v>168</v>
      </c>
      <c r="I55" s="16">
        <v>52</v>
      </c>
      <c r="J55" s="39" t="str">
        <f t="shared" si="1"/>
        <v>Опарське ВУПЗГ.ДКС Опари КЦ-1.ВТВ.ПВВГ.Q</v>
      </c>
      <c r="K55" s="20" t="s">
        <v>115</v>
      </c>
      <c r="L55" s="19" t="s">
        <v>158</v>
      </c>
      <c r="M55" s="19" t="s">
        <v>7</v>
      </c>
      <c r="N55" s="19" t="s">
        <v>31</v>
      </c>
      <c r="O55" s="19"/>
      <c r="P55" s="19" t="s">
        <v>13</v>
      </c>
      <c r="Q55" s="19" t="s">
        <v>51</v>
      </c>
      <c r="R55" s="19" t="s">
        <v>142</v>
      </c>
      <c r="S55" s="20"/>
      <c r="T55" s="19" t="s">
        <v>50</v>
      </c>
      <c r="U55" s="20" t="s">
        <v>17</v>
      </c>
    </row>
    <row r="56" spans="1:21" x14ac:dyDescent="0.25">
      <c r="A56" s="31" t="s">
        <v>54</v>
      </c>
      <c r="B56" s="32" t="s">
        <v>117</v>
      </c>
      <c r="C56" s="32" t="s">
        <v>85</v>
      </c>
      <c r="D56" s="32" t="s">
        <v>71</v>
      </c>
      <c r="E56" s="32"/>
      <c r="F56" s="32"/>
      <c r="G56" s="32" t="s">
        <v>168</v>
      </c>
      <c r="I56" s="16">
        <v>53</v>
      </c>
      <c r="J56" s="39" t="str">
        <f t="shared" si="1"/>
        <v>Опарське ВУПЗГ.ДКС Опари КЦ-2.ВТВ.ПВВГ.Q</v>
      </c>
      <c r="K56" s="22" t="s">
        <v>116</v>
      </c>
      <c r="L56" s="19" t="s">
        <v>158</v>
      </c>
      <c r="M56" s="19" t="s">
        <v>7</v>
      </c>
      <c r="N56" s="19" t="s">
        <v>31</v>
      </c>
      <c r="O56" s="19"/>
      <c r="P56" s="19" t="s">
        <v>13</v>
      </c>
      <c r="Q56" s="19" t="s">
        <v>51</v>
      </c>
      <c r="R56" s="19" t="s">
        <v>142</v>
      </c>
      <c r="S56" s="22"/>
      <c r="T56" s="19" t="s">
        <v>50</v>
      </c>
      <c r="U56" s="20" t="s">
        <v>17</v>
      </c>
    </row>
    <row r="57" spans="1:21" x14ac:dyDescent="0.25">
      <c r="A57" s="33" t="s">
        <v>54</v>
      </c>
      <c r="B57" s="34" t="s">
        <v>117</v>
      </c>
      <c r="C57" s="34" t="s">
        <v>85</v>
      </c>
      <c r="D57" s="34" t="s">
        <v>71</v>
      </c>
      <c r="E57" s="34"/>
      <c r="F57" s="34"/>
      <c r="G57" s="34" t="s">
        <v>168</v>
      </c>
      <c r="I57" s="16">
        <v>54</v>
      </c>
      <c r="J57" s="39" t="str">
        <f t="shared" si="1"/>
        <v>Опарське ВУПЗГ.ДКС Опари КЦ-2.ВТВ.ПВВГ.Q</v>
      </c>
      <c r="K57" s="23" t="s">
        <v>129</v>
      </c>
      <c r="L57" s="19" t="s">
        <v>158</v>
      </c>
      <c r="M57" s="19" t="s">
        <v>7</v>
      </c>
      <c r="N57" s="19" t="s">
        <v>31</v>
      </c>
      <c r="O57" s="19"/>
      <c r="P57" s="19" t="s">
        <v>13</v>
      </c>
      <c r="Q57" s="19" t="s">
        <v>51</v>
      </c>
      <c r="R57" s="19" t="s">
        <v>142</v>
      </c>
      <c r="S57" s="22"/>
      <c r="T57" s="19" t="s">
        <v>50</v>
      </c>
      <c r="U57" s="20" t="s">
        <v>17</v>
      </c>
    </row>
    <row r="58" spans="1:21" x14ac:dyDescent="0.25">
      <c r="A58" s="31" t="s">
        <v>54</v>
      </c>
      <c r="B58" s="32" t="s">
        <v>117</v>
      </c>
      <c r="C58" s="32" t="s">
        <v>85</v>
      </c>
      <c r="D58" s="32" t="s">
        <v>102</v>
      </c>
      <c r="E58" s="32"/>
      <c r="F58" s="32"/>
      <c r="G58" s="32" t="s">
        <v>168</v>
      </c>
      <c r="I58" s="16">
        <v>55</v>
      </c>
      <c r="J58" s="39" t="str">
        <f t="shared" si="1"/>
        <v>Опарське ВУПЗГ.ДКС Опари КЦ-2.ВТВ.СОУ.Q</v>
      </c>
      <c r="K58" s="23" t="s">
        <v>130</v>
      </c>
      <c r="L58" s="19" t="s">
        <v>158</v>
      </c>
      <c r="M58" s="19" t="s">
        <v>7</v>
      </c>
      <c r="N58" s="19" t="s">
        <v>31</v>
      </c>
      <c r="O58" s="19"/>
      <c r="P58" s="19" t="s">
        <v>13</v>
      </c>
      <c r="Q58" s="19" t="s">
        <v>51</v>
      </c>
      <c r="R58" s="19" t="s">
        <v>142</v>
      </c>
      <c r="S58" s="22"/>
      <c r="T58" s="19" t="s">
        <v>50</v>
      </c>
      <c r="U58" s="20" t="s">
        <v>17</v>
      </c>
    </row>
    <row r="59" spans="1:21" x14ac:dyDescent="0.25">
      <c r="A59" s="33" t="s">
        <v>54</v>
      </c>
      <c r="B59" s="34" t="s">
        <v>107</v>
      </c>
      <c r="C59" s="34" t="s">
        <v>85</v>
      </c>
      <c r="D59" s="34" t="s">
        <v>109</v>
      </c>
      <c r="E59" s="34"/>
      <c r="F59" s="34"/>
      <c r="G59" s="34" t="s">
        <v>168</v>
      </c>
      <c r="I59" s="16">
        <v>56</v>
      </c>
      <c r="J59" s="39" t="str">
        <f t="shared" si="1"/>
        <v>Опарське ВУПЗГ.ВТВ Всього.ВТВ.Всього.Q</v>
      </c>
      <c r="K59" s="22" t="s">
        <v>108</v>
      </c>
      <c r="L59" s="19" t="s">
        <v>158</v>
      </c>
      <c r="M59" s="19" t="s">
        <v>7</v>
      </c>
      <c r="N59" s="19" t="s">
        <v>31</v>
      </c>
      <c r="O59" s="19"/>
      <c r="P59" s="19" t="s">
        <v>13</v>
      </c>
      <c r="Q59" s="19" t="s">
        <v>51</v>
      </c>
      <c r="R59" s="19" t="s">
        <v>142</v>
      </c>
      <c r="S59" s="23" t="s">
        <v>8</v>
      </c>
      <c r="T59" s="19" t="s">
        <v>50</v>
      </c>
      <c r="U59" s="20" t="s">
        <v>17</v>
      </c>
    </row>
    <row r="60" spans="1:21" x14ac:dyDescent="0.25">
      <c r="A60" s="31" t="s">
        <v>54</v>
      </c>
      <c r="B60" s="32" t="s">
        <v>125</v>
      </c>
      <c r="C60" s="32" t="s">
        <v>85</v>
      </c>
      <c r="D60" s="32" t="s">
        <v>125</v>
      </c>
      <c r="E60" s="32"/>
      <c r="F60" s="32"/>
      <c r="G60" s="32" t="s">
        <v>168</v>
      </c>
      <c r="I60" s="16">
        <v>57</v>
      </c>
      <c r="J60" s="39" t="str">
        <f t="shared" si="1"/>
        <v>Опарське ВУПЗГ.ВТВ ОД.ВТВ.ВТВ ОД.Q</v>
      </c>
      <c r="K60" s="22" t="s">
        <v>121</v>
      </c>
      <c r="L60" s="19" t="s">
        <v>158</v>
      </c>
      <c r="M60" s="19" t="s">
        <v>7</v>
      </c>
      <c r="N60" s="19" t="s">
        <v>31</v>
      </c>
      <c r="O60" s="19"/>
      <c r="P60" s="19" t="s">
        <v>13</v>
      </c>
      <c r="Q60" s="19" t="s">
        <v>51</v>
      </c>
      <c r="R60" s="19" t="s">
        <v>142</v>
      </c>
      <c r="S60" s="22"/>
      <c r="T60" s="19" t="s">
        <v>50</v>
      </c>
      <c r="U60" s="20" t="s">
        <v>17</v>
      </c>
    </row>
    <row r="61" spans="1:21" x14ac:dyDescent="0.25">
      <c r="A61" s="33" t="s">
        <v>54</v>
      </c>
      <c r="B61" s="34" t="s">
        <v>125</v>
      </c>
      <c r="C61" s="34" t="s">
        <v>85</v>
      </c>
      <c r="D61" s="34" t="s">
        <v>125</v>
      </c>
      <c r="E61" s="34"/>
      <c r="F61" s="34"/>
      <c r="G61" s="34" t="s">
        <v>168</v>
      </c>
      <c r="I61" s="16">
        <v>58</v>
      </c>
      <c r="J61" s="39" t="str">
        <f t="shared" si="1"/>
        <v>Опарське ВУПЗГ.ВТВ ОД.ВТВ.ВТВ ОД.Q</v>
      </c>
      <c r="K61" s="22" t="s">
        <v>118</v>
      </c>
      <c r="L61" s="19" t="s">
        <v>158</v>
      </c>
      <c r="M61" s="19" t="s">
        <v>7</v>
      </c>
      <c r="N61" s="19" t="s">
        <v>31</v>
      </c>
      <c r="O61" s="19"/>
      <c r="P61" s="19" t="s">
        <v>13</v>
      </c>
      <c r="Q61" s="19" t="s">
        <v>51</v>
      </c>
      <c r="R61" s="19" t="s">
        <v>142</v>
      </c>
      <c r="S61" s="22"/>
      <c r="T61" s="19" t="s">
        <v>50</v>
      </c>
      <c r="U61" s="20" t="s">
        <v>17</v>
      </c>
    </row>
    <row r="62" spans="1:21" x14ac:dyDescent="0.25">
      <c r="A62" s="31" t="s">
        <v>54</v>
      </c>
      <c r="B62" s="32" t="s">
        <v>125</v>
      </c>
      <c r="C62" s="32" t="s">
        <v>85</v>
      </c>
      <c r="D62" s="32" t="s">
        <v>125</v>
      </c>
      <c r="E62" s="32"/>
      <c r="F62" s="32"/>
      <c r="G62" s="32" t="s">
        <v>168</v>
      </c>
      <c r="I62" s="16">
        <v>59</v>
      </c>
      <c r="J62" s="39" t="str">
        <f t="shared" si="1"/>
        <v>Опарське ВУПЗГ.ВТВ ОД.ВТВ.ВТВ ОД.Q</v>
      </c>
      <c r="K62" s="22" t="s">
        <v>119</v>
      </c>
      <c r="L62" s="19" t="s">
        <v>158</v>
      </c>
      <c r="M62" s="19" t="s">
        <v>7</v>
      </c>
      <c r="N62" s="19" t="s">
        <v>31</v>
      </c>
      <c r="O62" s="19"/>
      <c r="P62" s="19" t="s">
        <v>13</v>
      </c>
      <c r="Q62" s="19" t="s">
        <v>51</v>
      </c>
      <c r="R62" s="19" t="s">
        <v>142</v>
      </c>
      <c r="S62" s="22"/>
      <c r="T62" s="19" t="s">
        <v>50</v>
      </c>
      <c r="U62" s="20" t="s">
        <v>17</v>
      </c>
    </row>
    <row r="63" spans="1:21" x14ac:dyDescent="0.25">
      <c r="A63" s="33" t="s">
        <v>54</v>
      </c>
      <c r="B63" s="34" t="s">
        <v>125</v>
      </c>
      <c r="C63" s="34" t="s">
        <v>85</v>
      </c>
      <c r="D63" s="34" t="s">
        <v>125</v>
      </c>
      <c r="E63" s="34"/>
      <c r="F63" s="34"/>
      <c r="G63" s="34" t="s">
        <v>168</v>
      </c>
      <c r="I63" s="16">
        <v>60</v>
      </c>
      <c r="J63" s="39" t="str">
        <f t="shared" si="1"/>
        <v>Опарське ВУПЗГ.ВТВ ОД.ВТВ.ВТВ ОД.Q</v>
      </c>
      <c r="K63" s="22" t="s">
        <v>122</v>
      </c>
      <c r="L63" s="19" t="s">
        <v>158</v>
      </c>
      <c r="M63" s="19" t="s">
        <v>7</v>
      </c>
      <c r="N63" s="19" t="s">
        <v>31</v>
      </c>
      <c r="O63" s="19"/>
      <c r="P63" s="19" t="s">
        <v>13</v>
      </c>
      <c r="Q63" s="19" t="s">
        <v>51</v>
      </c>
      <c r="R63" s="19" t="s">
        <v>142</v>
      </c>
      <c r="S63" s="22"/>
      <c r="T63" s="19" t="s">
        <v>50</v>
      </c>
      <c r="U63" s="20" t="s">
        <v>17</v>
      </c>
    </row>
    <row r="64" spans="1:21" x14ac:dyDescent="0.25">
      <c r="A64" s="31" t="s">
        <v>54</v>
      </c>
      <c r="B64" s="32" t="s">
        <v>126</v>
      </c>
      <c r="C64" s="32" t="s">
        <v>85</v>
      </c>
      <c r="D64" s="32" t="s">
        <v>126</v>
      </c>
      <c r="E64" s="32"/>
      <c r="F64" s="32"/>
      <c r="G64" s="32" t="s">
        <v>168</v>
      </c>
      <c r="I64" s="16">
        <v>61</v>
      </c>
      <c r="J64" s="39" t="str">
        <f t="shared" si="1"/>
        <v>Опарське ВУПЗГ.ВТВ ДД.ВТВ.ВТВ ДД.Q</v>
      </c>
      <c r="K64" s="22" t="s">
        <v>120</v>
      </c>
      <c r="L64" s="19" t="s">
        <v>158</v>
      </c>
      <c r="M64" s="19" t="s">
        <v>7</v>
      </c>
      <c r="N64" s="19" t="s">
        <v>31</v>
      </c>
      <c r="O64" s="19"/>
      <c r="P64" s="19" t="s">
        <v>13</v>
      </c>
      <c r="Q64" s="19" t="s">
        <v>51</v>
      </c>
      <c r="R64" s="19" t="s">
        <v>142</v>
      </c>
      <c r="S64" s="22"/>
      <c r="T64" s="19" t="s">
        <v>50</v>
      </c>
      <c r="U64" s="20" t="s">
        <v>17</v>
      </c>
    </row>
    <row r="65" spans="1:21" x14ac:dyDescent="0.25">
      <c r="A65" s="33" t="s">
        <v>54</v>
      </c>
      <c r="B65" s="34" t="s">
        <v>126</v>
      </c>
      <c r="C65" s="34" t="s">
        <v>85</v>
      </c>
      <c r="D65" s="34" t="s">
        <v>126</v>
      </c>
      <c r="E65" s="34"/>
      <c r="F65" s="34"/>
      <c r="G65" s="34" t="s">
        <v>168</v>
      </c>
      <c r="I65" s="16">
        <v>62</v>
      </c>
      <c r="J65" s="39" t="str">
        <f t="shared" si="1"/>
        <v>Опарське ВУПЗГ.ВТВ ДД.ВТВ.ВТВ ДД.Q</v>
      </c>
      <c r="K65" s="23" t="s">
        <v>123</v>
      </c>
      <c r="L65" s="19" t="s">
        <v>158</v>
      </c>
      <c r="M65" s="19" t="s">
        <v>7</v>
      </c>
      <c r="N65" s="19" t="s">
        <v>31</v>
      </c>
      <c r="O65" s="19"/>
      <c r="P65" s="19" t="s">
        <v>13</v>
      </c>
      <c r="Q65" s="19" t="s">
        <v>51</v>
      </c>
      <c r="R65" s="19" t="s">
        <v>142</v>
      </c>
      <c r="S65" s="23"/>
      <c r="T65" s="19" t="s">
        <v>50</v>
      </c>
      <c r="U65" s="20" t="s">
        <v>17</v>
      </c>
    </row>
    <row r="66" spans="1:21" x14ac:dyDescent="0.25">
      <c r="A66" s="31" t="s">
        <v>54</v>
      </c>
      <c r="B66" s="32" t="s">
        <v>126</v>
      </c>
      <c r="C66" s="32" t="s">
        <v>85</v>
      </c>
      <c r="D66" s="32" t="s">
        <v>126</v>
      </c>
      <c r="E66" s="32"/>
      <c r="F66" s="32"/>
      <c r="G66" s="32" t="s">
        <v>168</v>
      </c>
      <c r="I66" s="16">
        <v>63</v>
      </c>
      <c r="J66" s="39" t="str">
        <f t="shared" si="1"/>
        <v>Опарське ВУПЗГ.ВТВ ДД.ВТВ.ВТВ ДД.Q</v>
      </c>
      <c r="K66" s="23" t="s">
        <v>124</v>
      </c>
      <c r="L66" s="19" t="s">
        <v>158</v>
      </c>
      <c r="M66" s="19" t="s">
        <v>7</v>
      </c>
      <c r="N66" s="19" t="s">
        <v>31</v>
      </c>
      <c r="O66" s="19"/>
      <c r="P66" s="19" t="s">
        <v>13</v>
      </c>
      <c r="Q66" s="19" t="s">
        <v>51</v>
      </c>
      <c r="R66" s="19" t="s">
        <v>142</v>
      </c>
      <c r="S66" s="23"/>
      <c r="T66" s="19" t="s">
        <v>50</v>
      </c>
      <c r="U66" s="20" t="s">
        <v>17</v>
      </c>
    </row>
    <row r="67" spans="1:21" x14ac:dyDescent="0.25">
      <c r="A67" s="33" t="s">
        <v>54</v>
      </c>
      <c r="B67" s="34" t="s">
        <v>86</v>
      </c>
      <c r="C67" s="34" t="s">
        <v>85</v>
      </c>
      <c r="D67" s="34" t="s">
        <v>71</v>
      </c>
      <c r="E67" s="34"/>
      <c r="F67" s="34"/>
      <c r="G67" s="34" t="s">
        <v>170</v>
      </c>
      <c r="I67" s="16">
        <v>64</v>
      </c>
      <c r="J67" s="39" t="str">
        <f t="shared" si="1"/>
        <v>Опарське ВУПЗГ.ДКС Опари.ВТВ.ПВВГ.E</v>
      </c>
      <c r="K67" s="23" t="s">
        <v>88</v>
      </c>
      <c r="L67" s="23" t="s">
        <v>70</v>
      </c>
      <c r="M67" s="19" t="s">
        <v>7</v>
      </c>
      <c r="N67" s="19" t="s">
        <v>31</v>
      </c>
      <c r="O67" s="19"/>
      <c r="P67" s="19" t="s">
        <v>13</v>
      </c>
      <c r="Q67" s="19" t="s">
        <v>51</v>
      </c>
      <c r="R67" s="19" t="s">
        <v>142</v>
      </c>
      <c r="S67" s="23"/>
      <c r="T67" s="19" t="s">
        <v>50</v>
      </c>
      <c r="U67" s="20" t="s">
        <v>17</v>
      </c>
    </row>
    <row r="68" spans="1:21" x14ac:dyDescent="0.25">
      <c r="A68" s="31" t="s">
        <v>54</v>
      </c>
      <c r="B68" s="32" t="s">
        <v>86</v>
      </c>
      <c r="C68" s="32" t="s">
        <v>85</v>
      </c>
      <c r="D68" s="32" t="s">
        <v>71</v>
      </c>
      <c r="E68" s="34" t="s">
        <v>214</v>
      </c>
      <c r="F68" s="32" t="s">
        <v>217</v>
      </c>
      <c r="G68" s="32" t="s">
        <v>170</v>
      </c>
      <c r="I68" s="16">
        <v>65</v>
      </c>
      <c r="J68" s="39" t="str">
        <f t="shared" ref="J68:J99" si="2">CONCATENATE(IF(ISBLANK(A68),"",A68&amp;CHAR(46)), IF(ISBLANK(B68),"",B68&amp;CHAR(46)), IF(ISBLANK(C68),"",C68&amp;CHAR(46)),IF(ISBLANK(D68),"",D68&amp;CHAR(46)), IF(ISBLANK(E68),"",E68&amp;CHAR(46)),IF(ISBLANK(F68),"",F68&amp;CHAR(46)),IF(ISBLANK(G68),"",G68) )</f>
        <v>Опарське ВУПЗГ.ДКС Опари.ВТВ.ПВВГ.закачка.після ВОГ.E</v>
      </c>
      <c r="K68" s="23" t="s">
        <v>72</v>
      </c>
      <c r="L68" s="23" t="s">
        <v>70</v>
      </c>
      <c r="M68" s="19" t="s">
        <v>7</v>
      </c>
      <c r="N68" s="19" t="s">
        <v>31</v>
      </c>
      <c r="O68" s="19"/>
      <c r="P68" s="19" t="s">
        <v>13</v>
      </c>
      <c r="Q68" s="19" t="s">
        <v>51</v>
      </c>
      <c r="R68" s="19" t="s">
        <v>142</v>
      </c>
      <c r="S68" s="23"/>
      <c r="T68" s="19" t="s">
        <v>50</v>
      </c>
      <c r="U68" s="20" t="s">
        <v>17</v>
      </c>
    </row>
    <row r="69" spans="1:21" x14ac:dyDescent="0.25">
      <c r="A69" s="33" t="s">
        <v>54</v>
      </c>
      <c r="B69" s="34" t="s">
        <v>86</v>
      </c>
      <c r="C69" s="34" t="s">
        <v>85</v>
      </c>
      <c r="D69" s="34" t="s">
        <v>71</v>
      </c>
      <c r="E69" s="32" t="s">
        <v>215</v>
      </c>
      <c r="F69" s="32" t="s">
        <v>217</v>
      </c>
      <c r="G69" s="34" t="s">
        <v>170</v>
      </c>
      <c r="I69" s="16">
        <v>66</v>
      </c>
      <c r="J69" s="39" t="str">
        <f t="shared" si="2"/>
        <v>Опарське ВУПЗГ.ДКС Опари.ВТВ.ПВВГ.відбір.після ВОГ.E</v>
      </c>
      <c r="K69" s="23" t="s">
        <v>73</v>
      </c>
      <c r="L69" s="23" t="s">
        <v>70</v>
      </c>
      <c r="M69" s="19" t="s">
        <v>7</v>
      </c>
      <c r="N69" s="19" t="s">
        <v>31</v>
      </c>
      <c r="O69" s="19"/>
      <c r="P69" s="19" t="s">
        <v>13</v>
      </c>
      <c r="Q69" s="19" t="s">
        <v>51</v>
      </c>
      <c r="R69" s="19" t="s">
        <v>142</v>
      </c>
      <c r="S69" s="23"/>
      <c r="T69" s="19" t="s">
        <v>50</v>
      </c>
      <c r="U69" s="20" t="s">
        <v>17</v>
      </c>
    </row>
    <row r="70" spans="1:21" x14ac:dyDescent="0.25">
      <c r="A70" s="31" t="s">
        <v>54</v>
      </c>
      <c r="B70" s="32" t="s">
        <v>86</v>
      </c>
      <c r="C70" s="32" t="s">
        <v>85</v>
      </c>
      <c r="D70" s="32" t="s">
        <v>71</v>
      </c>
      <c r="E70" s="32" t="s">
        <v>215</v>
      </c>
      <c r="F70" s="34" t="s">
        <v>216</v>
      </c>
      <c r="G70" s="32" t="s">
        <v>170</v>
      </c>
      <c r="I70" s="16">
        <v>67</v>
      </c>
      <c r="J70" s="39" t="str">
        <f t="shared" si="2"/>
        <v>Опарське ВУПЗГ.ДКС Опари.ВТВ.ПВВГ.відбір.до ВОГ.E</v>
      </c>
      <c r="K70" s="23" t="s">
        <v>74</v>
      </c>
      <c r="L70" s="23" t="s">
        <v>70</v>
      </c>
      <c r="M70" s="19" t="s">
        <v>7</v>
      </c>
      <c r="N70" s="19" t="s">
        <v>31</v>
      </c>
      <c r="O70" s="19"/>
      <c r="P70" s="19" t="s">
        <v>13</v>
      </c>
      <c r="Q70" s="19" t="s">
        <v>51</v>
      </c>
      <c r="R70" s="19" t="s">
        <v>142</v>
      </c>
      <c r="S70" s="23"/>
      <c r="T70" s="19" t="s">
        <v>50</v>
      </c>
      <c r="U70" s="20" t="s">
        <v>17</v>
      </c>
    </row>
    <row r="71" spans="1:21" x14ac:dyDescent="0.25">
      <c r="A71" s="33" t="s">
        <v>54</v>
      </c>
      <c r="B71" s="34" t="s">
        <v>86</v>
      </c>
      <c r="C71" s="34" t="s">
        <v>85</v>
      </c>
      <c r="D71" s="34" t="s">
        <v>71</v>
      </c>
      <c r="E71" s="34"/>
      <c r="F71" s="32"/>
      <c r="G71" s="34" t="s">
        <v>170</v>
      </c>
      <c r="I71" s="16">
        <v>68</v>
      </c>
      <c r="J71" s="39" t="str">
        <f t="shared" si="2"/>
        <v>Опарське ВУПЗГ.ДКС Опари.ВТВ.ПВВГ.E</v>
      </c>
      <c r="K71" s="23" t="s">
        <v>97</v>
      </c>
      <c r="L71" s="23" t="s">
        <v>70</v>
      </c>
      <c r="M71" s="19" t="s">
        <v>7</v>
      </c>
      <c r="N71" s="19" t="s">
        <v>31</v>
      </c>
      <c r="O71" s="19"/>
      <c r="P71" s="19" t="s">
        <v>13</v>
      </c>
      <c r="Q71" s="19" t="s">
        <v>51</v>
      </c>
      <c r="R71" s="19" t="s">
        <v>142</v>
      </c>
      <c r="S71" s="23"/>
      <c r="T71" s="19" t="s">
        <v>50</v>
      </c>
      <c r="U71" s="20" t="s">
        <v>17</v>
      </c>
    </row>
    <row r="72" spans="1:21" x14ac:dyDescent="0.25">
      <c r="A72" s="31" t="s">
        <v>54</v>
      </c>
      <c r="B72" s="32" t="s">
        <v>86</v>
      </c>
      <c r="C72" s="32" t="s">
        <v>85</v>
      </c>
      <c r="D72" s="32" t="s">
        <v>71</v>
      </c>
      <c r="E72" s="34" t="s">
        <v>214</v>
      </c>
      <c r="F72" s="32" t="s">
        <v>217</v>
      </c>
      <c r="G72" s="32" t="s">
        <v>170</v>
      </c>
      <c r="I72" s="16">
        <v>69</v>
      </c>
      <c r="J72" s="39" t="str">
        <f t="shared" si="2"/>
        <v>Опарське ВУПЗГ.ДКС Опари.ВТВ.ПВВГ.закачка.після ВОГ.E</v>
      </c>
      <c r="K72" s="23" t="s">
        <v>75</v>
      </c>
      <c r="L72" s="23" t="s">
        <v>70</v>
      </c>
      <c r="M72" s="19" t="s">
        <v>7</v>
      </c>
      <c r="N72" s="19" t="s">
        <v>31</v>
      </c>
      <c r="O72" s="19"/>
      <c r="P72" s="19" t="s">
        <v>13</v>
      </c>
      <c r="Q72" s="19" t="s">
        <v>51</v>
      </c>
      <c r="R72" s="19" t="s">
        <v>142</v>
      </c>
      <c r="S72" s="23"/>
      <c r="T72" s="19" t="s">
        <v>50</v>
      </c>
      <c r="U72" s="20" t="s">
        <v>17</v>
      </c>
    </row>
    <row r="73" spans="1:21" x14ac:dyDescent="0.25">
      <c r="A73" s="33" t="s">
        <v>54</v>
      </c>
      <c r="B73" s="34" t="s">
        <v>86</v>
      </c>
      <c r="C73" s="34" t="s">
        <v>85</v>
      </c>
      <c r="D73" s="34" t="s">
        <v>71</v>
      </c>
      <c r="E73" s="32" t="s">
        <v>215</v>
      </c>
      <c r="F73" s="32" t="s">
        <v>217</v>
      </c>
      <c r="G73" s="34" t="s">
        <v>170</v>
      </c>
      <c r="I73" s="16">
        <v>70</v>
      </c>
      <c r="J73" s="39" t="str">
        <f t="shared" si="2"/>
        <v>Опарське ВУПЗГ.ДКС Опари.ВТВ.ПВВГ.відбір.після ВОГ.E</v>
      </c>
      <c r="K73" s="23" t="s">
        <v>76</v>
      </c>
      <c r="L73" s="23" t="s">
        <v>70</v>
      </c>
      <c r="M73" s="19" t="s">
        <v>7</v>
      </c>
      <c r="N73" s="19" t="s">
        <v>31</v>
      </c>
      <c r="O73" s="19"/>
      <c r="P73" s="19" t="s">
        <v>13</v>
      </c>
      <c r="Q73" s="19" t="s">
        <v>51</v>
      </c>
      <c r="R73" s="19" t="s">
        <v>142</v>
      </c>
      <c r="S73" s="23"/>
      <c r="T73" s="19" t="s">
        <v>50</v>
      </c>
      <c r="U73" s="20" t="s">
        <v>17</v>
      </c>
    </row>
    <row r="74" spans="1:21" x14ac:dyDescent="0.25">
      <c r="A74" s="31" t="s">
        <v>54</v>
      </c>
      <c r="B74" s="32" t="s">
        <v>86</v>
      </c>
      <c r="C74" s="32" t="s">
        <v>85</v>
      </c>
      <c r="D74" s="32" t="s">
        <v>71</v>
      </c>
      <c r="E74" s="32" t="s">
        <v>215</v>
      </c>
      <c r="F74" s="34" t="s">
        <v>216</v>
      </c>
      <c r="G74" s="32" t="s">
        <v>170</v>
      </c>
      <c r="I74" s="16">
        <v>71</v>
      </c>
      <c r="J74" s="39" t="str">
        <f t="shared" si="2"/>
        <v>Опарське ВУПЗГ.ДКС Опари.ВТВ.ПВВГ.відбір.до ВОГ.E</v>
      </c>
      <c r="K74" s="23" t="s">
        <v>77</v>
      </c>
      <c r="L74" s="23" t="s">
        <v>70</v>
      </c>
      <c r="M74" s="19" t="s">
        <v>7</v>
      </c>
      <c r="N74" s="19" t="s">
        <v>31</v>
      </c>
      <c r="O74" s="19"/>
      <c r="P74" s="19" t="s">
        <v>13</v>
      </c>
      <c r="Q74" s="19" t="s">
        <v>51</v>
      </c>
      <c r="R74" s="19" t="s">
        <v>142</v>
      </c>
      <c r="S74" s="23"/>
      <c r="T74" s="19" t="s">
        <v>50</v>
      </c>
      <c r="U74" s="20" t="s">
        <v>17</v>
      </c>
    </row>
    <row r="75" spans="1:21" x14ac:dyDescent="0.25">
      <c r="A75" s="33" t="s">
        <v>54</v>
      </c>
      <c r="B75" s="34" t="s">
        <v>86</v>
      </c>
      <c r="C75" s="34" t="s">
        <v>85</v>
      </c>
      <c r="D75" s="34" t="s">
        <v>71</v>
      </c>
      <c r="E75" s="34" t="s">
        <v>214</v>
      </c>
      <c r="F75" s="32" t="s">
        <v>217</v>
      </c>
      <c r="G75" s="34" t="s">
        <v>170</v>
      </c>
      <c r="I75" s="16">
        <v>72</v>
      </c>
      <c r="J75" s="39" t="str">
        <f t="shared" si="2"/>
        <v>Опарське ВУПЗГ.ДКС Опари.ВТВ.ПВВГ.закачка.після ВОГ.E</v>
      </c>
      <c r="K75" s="23" t="s">
        <v>78</v>
      </c>
      <c r="L75" s="23" t="s">
        <v>70</v>
      </c>
      <c r="M75" s="19" t="s">
        <v>7</v>
      </c>
      <c r="N75" s="19" t="s">
        <v>31</v>
      </c>
      <c r="O75" s="19"/>
      <c r="P75" s="19" t="s">
        <v>13</v>
      </c>
      <c r="Q75" s="19" t="s">
        <v>51</v>
      </c>
      <c r="R75" s="19" t="s">
        <v>142</v>
      </c>
      <c r="S75" s="23"/>
      <c r="T75" s="19" t="s">
        <v>50</v>
      </c>
      <c r="U75" s="20" t="s">
        <v>17</v>
      </c>
    </row>
    <row r="76" spans="1:21" x14ac:dyDescent="0.25">
      <c r="A76" s="31" t="s">
        <v>54</v>
      </c>
      <c r="B76" s="32" t="s">
        <v>86</v>
      </c>
      <c r="C76" s="32" t="s">
        <v>85</v>
      </c>
      <c r="D76" s="32" t="s">
        <v>71</v>
      </c>
      <c r="E76" s="32" t="s">
        <v>215</v>
      </c>
      <c r="F76" s="32" t="s">
        <v>217</v>
      </c>
      <c r="G76" s="32" t="s">
        <v>170</v>
      </c>
      <c r="I76" s="16">
        <v>73</v>
      </c>
      <c r="J76" s="39" t="str">
        <f t="shared" si="2"/>
        <v>Опарське ВУПЗГ.ДКС Опари.ВТВ.ПВВГ.відбір.після ВОГ.E</v>
      </c>
      <c r="K76" s="23" t="s">
        <v>79</v>
      </c>
      <c r="L76" s="23" t="s">
        <v>70</v>
      </c>
      <c r="M76" s="19" t="s">
        <v>7</v>
      </c>
      <c r="N76" s="19" t="s">
        <v>31</v>
      </c>
      <c r="O76" s="19"/>
      <c r="P76" s="19" t="s">
        <v>13</v>
      </c>
      <c r="Q76" s="19" t="s">
        <v>51</v>
      </c>
      <c r="R76" s="19" t="s">
        <v>142</v>
      </c>
      <c r="S76" s="23"/>
      <c r="T76" s="19" t="s">
        <v>50</v>
      </c>
      <c r="U76" s="20" t="s">
        <v>17</v>
      </c>
    </row>
    <row r="77" spans="1:21" x14ac:dyDescent="0.25">
      <c r="A77" s="33" t="s">
        <v>54</v>
      </c>
      <c r="B77" s="34" t="s">
        <v>86</v>
      </c>
      <c r="C77" s="34" t="s">
        <v>85</v>
      </c>
      <c r="D77" s="34" t="s">
        <v>71</v>
      </c>
      <c r="E77" s="32" t="s">
        <v>215</v>
      </c>
      <c r="F77" s="34" t="s">
        <v>216</v>
      </c>
      <c r="G77" s="34" t="s">
        <v>170</v>
      </c>
      <c r="I77" s="16">
        <v>74</v>
      </c>
      <c r="J77" s="39" t="str">
        <f t="shared" si="2"/>
        <v>Опарське ВУПЗГ.ДКС Опари.ВТВ.ПВВГ.відбір.до ВОГ.E</v>
      </c>
      <c r="K77" s="23" t="s">
        <v>80</v>
      </c>
      <c r="L77" s="23" t="s">
        <v>70</v>
      </c>
      <c r="M77" s="19" t="s">
        <v>7</v>
      </c>
      <c r="N77" s="19" t="s">
        <v>31</v>
      </c>
      <c r="O77" s="19"/>
      <c r="P77" s="19" t="s">
        <v>13</v>
      </c>
      <c r="Q77" s="19" t="s">
        <v>51</v>
      </c>
      <c r="R77" s="19" t="s">
        <v>142</v>
      </c>
      <c r="S77" s="23"/>
      <c r="T77" s="19" t="s">
        <v>50</v>
      </c>
      <c r="U77" s="20" t="s">
        <v>17</v>
      </c>
    </row>
    <row r="78" spans="1:21" x14ac:dyDescent="0.25">
      <c r="A78" s="31" t="s">
        <v>54</v>
      </c>
      <c r="B78" s="32" t="s">
        <v>55</v>
      </c>
      <c r="C78" s="32" t="s">
        <v>85</v>
      </c>
      <c r="D78" s="32" t="s">
        <v>71</v>
      </c>
      <c r="E78" s="34"/>
      <c r="F78" s="32"/>
      <c r="G78" s="32" t="s">
        <v>170</v>
      </c>
      <c r="I78" s="16">
        <v>75</v>
      </c>
      <c r="J78" s="39" t="str">
        <f t="shared" si="2"/>
        <v>Опарське ВУПЗГ.ПСГ Опарське.ВТВ.ПВВГ.E</v>
      </c>
      <c r="K78" s="23" t="s">
        <v>81</v>
      </c>
      <c r="L78" s="23" t="s">
        <v>70</v>
      </c>
      <c r="M78" s="19" t="s">
        <v>7</v>
      </c>
      <c r="N78" s="19" t="s">
        <v>31</v>
      </c>
      <c r="O78" s="19"/>
      <c r="P78" s="19" t="s">
        <v>13</v>
      </c>
      <c r="Q78" s="19" t="s">
        <v>51</v>
      </c>
      <c r="R78" s="19" t="s">
        <v>142</v>
      </c>
      <c r="S78" s="23"/>
      <c r="T78" s="19" t="s">
        <v>50</v>
      </c>
      <c r="U78" s="20" t="s">
        <v>17</v>
      </c>
    </row>
    <row r="79" spans="1:21" x14ac:dyDescent="0.25">
      <c r="A79" s="33" t="s">
        <v>54</v>
      </c>
      <c r="B79" s="34" t="s">
        <v>55</v>
      </c>
      <c r="C79" s="34" t="s">
        <v>85</v>
      </c>
      <c r="D79" s="34" t="s">
        <v>71</v>
      </c>
      <c r="E79" s="34" t="s">
        <v>214</v>
      </c>
      <c r="F79" s="34" t="s">
        <v>216</v>
      </c>
      <c r="G79" s="34" t="s">
        <v>170</v>
      </c>
      <c r="I79" s="16">
        <v>76</v>
      </c>
      <c r="J79" s="39" t="str">
        <f t="shared" si="2"/>
        <v>Опарське ВУПЗГ.ПСГ Опарське.ВТВ.ПВВГ.закачка.до ВОГ.E</v>
      </c>
      <c r="K79" s="23" t="s">
        <v>82</v>
      </c>
      <c r="L79" s="23" t="s">
        <v>70</v>
      </c>
      <c r="M79" s="19" t="s">
        <v>7</v>
      </c>
      <c r="N79" s="19" t="s">
        <v>31</v>
      </c>
      <c r="O79" s="19"/>
      <c r="P79" s="19" t="s">
        <v>13</v>
      </c>
      <c r="Q79" s="19" t="s">
        <v>51</v>
      </c>
      <c r="R79" s="19" t="s">
        <v>142</v>
      </c>
      <c r="S79" s="23"/>
      <c r="T79" s="19" t="s">
        <v>50</v>
      </c>
      <c r="U79" s="20" t="s">
        <v>17</v>
      </c>
    </row>
    <row r="80" spans="1:21" x14ac:dyDescent="0.25">
      <c r="A80" s="31" t="s">
        <v>54</v>
      </c>
      <c r="B80" s="32" t="s">
        <v>55</v>
      </c>
      <c r="C80" s="32" t="s">
        <v>85</v>
      </c>
      <c r="D80" s="32" t="s">
        <v>71</v>
      </c>
      <c r="E80" s="32" t="s">
        <v>215</v>
      </c>
      <c r="F80" s="32" t="s">
        <v>217</v>
      </c>
      <c r="G80" s="32" t="s">
        <v>170</v>
      </c>
      <c r="I80" s="16">
        <v>77</v>
      </c>
      <c r="J80" s="39" t="str">
        <f t="shared" si="2"/>
        <v>Опарське ВУПЗГ.ПСГ Опарське.ВТВ.ПВВГ.відбір.після ВОГ.E</v>
      </c>
      <c r="K80" s="23" t="s">
        <v>83</v>
      </c>
      <c r="L80" s="23" t="s">
        <v>70</v>
      </c>
      <c r="M80" s="19" t="s">
        <v>7</v>
      </c>
      <c r="N80" s="19" t="s">
        <v>31</v>
      </c>
      <c r="O80" s="19"/>
      <c r="P80" s="19" t="s">
        <v>13</v>
      </c>
      <c r="Q80" s="19" t="s">
        <v>51</v>
      </c>
      <c r="R80" s="19" t="s">
        <v>142</v>
      </c>
      <c r="S80" s="23"/>
      <c r="T80" s="19" t="s">
        <v>50</v>
      </c>
      <c r="U80" s="20" t="s">
        <v>17</v>
      </c>
    </row>
    <row r="81" spans="1:21" x14ac:dyDescent="0.25">
      <c r="A81" s="33" t="s">
        <v>54</v>
      </c>
      <c r="B81" s="34" t="s">
        <v>55</v>
      </c>
      <c r="C81" s="34" t="s">
        <v>85</v>
      </c>
      <c r="D81" s="34" t="s">
        <v>71</v>
      </c>
      <c r="E81" s="32" t="s">
        <v>215</v>
      </c>
      <c r="F81" s="34" t="s">
        <v>216</v>
      </c>
      <c r="G81" s="34" t="s">
        <v>170</v>
      </c>
      <c r="I81" s="16">
        <v>78</v>
      </c>
      <c r="J81" s="39" t="str">
        <f t="shared" si="2"/>
        <v>Опарське ВУПЗГ.ПСГ Опарське.ВТВ.ПВВГ.відбір.до ВОГ.E</v>
      </c>
      <c r="K81" s="23" t="s">
        <v>84</v>
      </c>
      <c r="L81" s="23" t="s">
        <v>70</v>
      </c>
      <c r="M81" s="19" t="s">
        <v>7</v>
      </c>
      <c r="N81" s="19" t="s">
        <v>31</v>
      </c>
      <c r="O81" s="19"/>
      <c r="P81" s="19" t="s">
        <v>13</v>
      </c>
      <c r="Q81" s="19" t="s">
        <v>51</v>
      </c>
      <c r="R81" s="19" t="s">
        <v>142</v>
      </c>
      <c r="S81" s="23"/>
      <c r="T81" s="19" t="s">
        <v>50</v>
      </c>
      <c r="U81" s="20" t="s">
        <v>17</v>
      </c>
    </row>
    <row r="82" spans="1:21" x14ac:dyDescent="0.25">
      <c r="A82" s="31" t="s">
        <v>54</v>
      </c>
      <c r="B82" s="32" t="s">
        <v>86</v>
      </c>
      <c r="C82" s="32" t="s">
        <v>85</v>
      </c>
      <c r="D82" s="32" t="s">
        <v>71</v>
      </c>
      <c r="E82" s="34"/>
      <c r="F82" s="32"/>
      <c r="G82" s="32" t="s">
        <v>170</v>
      </c>
      <c r="I82" s="16">
        <v>79</v>
      </c>
      <c r="J82" s="39" t="str">
        <f t="shared" si="2"/>
        <v>Опарське ВУПЗГ.ДКС Опари.ВТВ.ПВВГ.E</v>
      </c>
      <c r="K82" s="23" t="s">
        <v>87</v>
      </c>
      <c r="L82" s="23" t="s">
        <v>70</v>
      </c>
      <c r="M82" s="19" t="s">
        <v>7</v>
      </c>
      <c r="N82" s="19" t="s">
        <v>31</v>
      </c>
      <c r="O82" s="19"/>
      <c r="P82" s="19" t="s">
        <v>13</v>
      </c>
      <c r="Q82" s="19" t="s">
        <v>51</v>
      </c>
      <c r="R82" s="19" t="s">
        <v>142</v>
      </c>
      <c r="S82" s="23"/>
      <c r="T82" s="19" t="s">
        <v>50</v>
      </c>
      <c r="U82" s="20" t="s">
        <v>17</v>
      </c>
    </row>
    <row r="83" spans="1:21" x14ac:dyDescent="0.25">
      <c r="A83" s="33" t="s">
        <v>54</v>
      </c>
      <c r="B83" s="34" t="s">
        <v>86</v>
      </c>
      <c r="C83" s="34" t="s">
        <v>85</v>
      </c>
      <c r="D83" s="34" t="s">
        <v>71</v>
      </c>
      <c r="E83" s="34" t="s">
        <v>214</v>
      </c>
      <c r="F83" s="32" t="s">
        <v>217</v>
      </c>
      <c r="G83" s="34" t="s">
        <v>170</v>
      </c>
      <c r="I83" s="16">
        <v>80</v>
      </c>
      <c r="J83" s="39" t="str">
        <f t="shared" si="2"/>
        <v>Опарське ВУПЗГ.ДКС Опари.ВТВ.ПВВГ.закачка.після ВОГ.E</v>
      </c>
      <c r="K83" s="23" t="s">
        <v>90</v>
      </c>
      <c r="L83" s="23" t="s">
        <v>70</v>
      </c>
      <c r="M83" s="19" t="s">
        <v>7</v>
      </c>
      <c r="N83" s="19" t="s">
        <v>31</v>
      </c>
      <c r="O83" s="19"/>
      <c r="P83" s="19" t="s">
        <v>13</v>
      </c>
      <c r="Q83" s="19" t="s">
        <v>51</v>
      </c>
      <c r="R83" s="19" t="s">
        <v>142</v>
      </c>
      <c r="S83" s="23"/>
      <c r="T83" s="19" t="s">
        <v>50</v>
      </c>
      <c r="U83" s="20" t="s">
        <v>17</v>
      </c>
    </row>
    <row r="84" spans="1:21" x14ac:dyDescent="0.25">
      <c r="A84" s="31" t="s">
        <v>54</v>
      </c>
      <c r="B84" s="32" t="s">
        <v>86</v>
      </c>
      <c r="C84" s="32" t="s">
        <v>85</v>
      </c>
      <c r="D84" s="32" t="s">
        <v>71</v>
      </c>
      <c r="E84" s="32" t="s">
        <v>215</v>
      </c>
      <c r="F84" s="32" t="s">
        <v>217</v>
      </c>
      <c r="G84" s="32" t="s">
        <v>170</v>
      </c>
      <c r="I84" s="16">
        <v>81</v>
      </c>
      <c r="J84" s="39" t="str">
        <f t="shared" si="2"/>
        <v>Опарське ВУПЗГ.ДКС Опари.ВТВ.ПВВГ.відбір.після ВОГ.E</v>
      </c>
      <c r="K84" s="23" t="s">
        <v>91</v>
      </c>
      <c r="L84" s="23" t="s">
        <v>70</v>
      </c>
      <c r="M84" s="19" t="s">
        <v>7</v>
      </c>
      <c r="N84" s="19" t="s">
        <v>31</v>
      </c>
      <c r="O84" s="19"/>
      <c r="P84" s="19" t="s">
        <v>13</v>
      </c>
      <c r="Q84" s="19" t="s">
        <v>51</v>
      </c>
      <c r="R84" s="19" t="s">
        <v>142</v>
      </c>
      <c r="S84" s="23"/>
      <c r="T84" s="19" t="s">
        <v>50</v>
      </c>
      <c r="U84" s="20" t="s">
        <v>17</v>
      </c>
    </row>
    <row r="85" spans="1:21" x14ac:dyDescent="0.25">
      <c r="A85" s="33" t="s">
        <v>54</v>
      </c>
      <c r="B85" s="34" t="s">
        <v>86</v>
      </c>
      <c r="C85" s="34" t="s">
        <v>85</v>
      </c>
      <c r="D85" s="34" t="s">
        <v>71</v>
      </c>
      <c r="E85" s="32" t="s">
        <v>215</v>
      </c>
      <c r="F85" s="34" t="s">
        <v>216</v>
      </c>
      <c r="G85" s="34" t="s">
        <v>170</v>
      </c>
      <c r="I85" s="16">
        <v>82</v>
      </c>
      <c r="J85" s="39" t="str">
        <f t="shared" si="2"/>
        <v>Опарське ВУПЗГ.ДКС Опари.ВТВ.ПВВГ.відбір.до ВОГ.E</v>
      </c>
      <c r="K85" s="23" t="s">
        <v>92</v>
      </c>
      <c r="L85" s="23" t="s">
        <v>70</v>
      </c>
      <c r="M85" s="19" t="s">
        <v>7</v>
      </c>
      <c r="N85" s="19" t="s">
        <v>31</v>
      </c>
      <c r="O85" s="19"/>
      <c r="P85" s="19" t="s">
        <v>13</v>
      </c>
      <c r="Q85" s="19" t="s">
        <v>51</v>
      </c>
      <c r="R85" s="19" t="s">
        <v>142</v>
      </c>
      <c r="S85" s="23"/>
      <c r="T85" s="19" t="s">
        <v>50</v>
      </c>
      <c r="U85" s="20" t="s">
        <v>17</v>
      </c>
    </row>
    <row r="86" spans="1:21" x14ac:dyDescent="0.25">
      <c r="A86" s="31" t="s">
        <v>54</v>
      </c>
      <c r="B86" s="32" t="s">
        <v>86</v>
      </c>
      <c r="C86" s="32" t="s">
        <v>85</v>
      </c>
      <c r="D86" s="32" t="s">
        <v>71</v>
      </c>
      <c r="E86" s="34" t="s">
        <v>214</v>
      </c>
      <c r="F86" s="32" t="s">
        <v>217</v>
      </c>
      <c r="G86" s="32" t="s">
        <v>170</v>
      </c>
      <c r="I86" s="16">
        <v>83</v>
      </c>
      <c r="J86" s="39" t="str">
        <f t="shared" si="2"/>
        <v>Опарське ВУПЗГ.ДКС Опари.ВТВ.ПВВГ.закачка.після ВОГ.E</v>
      </c>
      <c r="K86" s="23" t="s">
        <v>93</v>
      </c>
      <c r="L86" s="23" t="s">
        <v>70</v>
      </c>
      <c r="M86" s="19" t="s">
        <v>7</v>
      </c>
      <c r="N86" s="19" t="s">
        <v>31</v>
      </c>
      <c r="O86" s="19"/>
      <c r="P86" s="19" t="s">
        <v>13</v>
      </c>
      <c r="Q86" s="19" t="s">
        <v>51</v>
      </c>
      <c r="R86" s="19" t="s">
        <v>142</v>
      </c>
      <c r="S86" s="23"/>
      <c r="T86" s="19" t="s">
        <v>50</v>
      </c>
      <c r="U86" s="20" t="s">
        <v>17</v>
      </c>
    </row>
    <row r="87" spans="1:21" x14ac:dyDescent="0.25">
      <c r="A87" s="33" t="s">
        <v>54</v>
      </c>
      <c r="B87" s="34" t="s">
        <v>86</v>
      </c>
      <c r="C87" s="34" t="s">
        <v>85</v>
      </c>
      <c r="D87" s="34" t="s">
        <v>71</v>
      </c>
      <c r="E87" s="32" t="s">
        <v>215</v>
      </c>
      <c r="F87" s="32" t="s">
        <v>217</v>
      </c>
      <c r="G87" s="34" t="s">
        <v>170</v>
      </c>
      <c r="I87" s="16">
        <v>84</v>
      </c>
      <c r="J87" s="39" t="str">
        <f t="shared" si="2"/>
        <v>Опарське ВУПЗГ.ДКС Опари.ВТВ.ПВВГ.відбір.після ВОГ.E</v>
      </c>
      <c r="K87" s="23" t="s">
        <v>94</v>
      </c>
      <c r="L87" s="23" t="s">
        <v>70</v>
      </c>
      <c r="M87" s="19" t="s">
        <v>7</v>
      </c>
      <c r="N87" s="19" t="s">
        <v>31</v>
      </c>
      <c r="O87" s="19"/>
      <c r="P87" s="19" t="s">
        <v>13</v>
      </c>
      <c r="Q87" s="19" t="s">
        <v>51</v>
      </c>
      <c r="R87" s="19" t="s">
        <v>142</v>
      </c>
      <c r="S87" s="23"/>
      <c r="T87" s="19" t="s">
        <v>50</v>
      </c>
      <c r="U87" s="20" t="s">
        <v>17</v>
      </c>
    </row>
    <row r="88" spans="1:21" x14ac:dyDescent="0.25">
      <c r="A88" s="31" t="s">
        <v>54</v>
      </c>
      <c r="B88" s="32" t="s">
        <v>86</v>
      </c>
      <c r="C88" s="32" t="s">
        <v>85</v>
      </c>
      <c r="D88" s="32" t="s">
        <v>71</v>
      </c>
      <c r="E88" s="32" t="s">
        <v>215</v>
      </c>
      <c r="F88" s="34" t="s">
        <v>216</v>
      </c>
      <c r="G88" s="32" t="s">
        <v>170</v>
      </c>
      <c r="I88" s="16">
        <v>85</v>
      </c>
      <c r="J88" s="39" t="str">
        <f t="shared" si="2"/>
        <v>Опарське ВУПЗГ.ДКС Опари.ВТВ.ПВВГ.відбір.до ВОГ.E</v>
      </c>
      <c r="K88" s="23" t="s">
        <v>95</v>
      </c>
      <c r="L88" s="23" t="s">
        <v>70</v>
      </c>
      <c r="M88" s="19" t="s">
        <v>7</v>
      </c>
      <c r="N88" s="19" t="s">
        <v>31</v>
      </c>
      <c r="O88" s="19"/>
      <c r="P88" s="19" t="s">
        <v>13</v>
      </c>
      <c r="Q88" s="19" t="s">
        <v>51</v>
      </c>
      <c r="R88" s="19" t="s">
        <v>142</v>
      </c>
      <c r="S88" s="23"/>
      <c r="T88" s="19" t="s">
        <v>50</v>
      </c>
      <c r="U88" s="20" t="s">
        <v>17</v>
      </c>
    </row>
    <row r="89" spans="1:21" x14ac:dyDescent="0.25">
      <c r="A89" s="33" t="s">
        <v>54</v>
      </c>
      <c r="B89" s="34" t="s">
        <v>86</v>
      </c>
      <c r="C89" s="34" t="s">
        <v>85</v>
      </c>
      <c r="D89" s="34" t="s">
        <v>71</v>
      </c>
      <c r="E89" s="34"/>
      <c r="F89" s="32"/>
      <c r="G89" s="34" t="s">
        <v>170</v>
      </c>
      <c r="I89" s="16">
        <v>86</v>
      </c>
      <c r="J89" s="39" t="str">
        <f t="shared" si="2"/>
        <v>Опарське ВУПЗГ.ДКС Опари.ВТВ.ПВВГ.E</v>
      </c>
      <c r="K89" s="23" t="s">
        <v>96</v>
      </c>
      <c r="L89" s="23" t="s">
        <v>70</v>
      </c>
      <c r="M89" s="19" t="s">
        <v>7</v>
      </c>
      <c r="N89" s="19" t="s">
        <v>31</v>
      </c>
      <c r="O89" s="19"/>
      <c r="P89" s="19" t="s">
        <v>13</v>
      </c>
      <c r="Q89" s="19" t="s">
        <v>51</v>
      </c>
      <c r="R89" s="19" t="s">
        <v>142</v>
      </c>
      <c r="S89" s="23"/>
      <c r="T89" s="19" t="s">
        <v>50</v>
      </c>
      <c r="U89" s="20" t="s">
        <v>17</v>
      </c>
    </row>
    <row r="90" spans="1:21" x14ac:dyDescent="0.25">
      <c r="A90" s="31" t="s">
        <v>54</v>
      </c>
      <c r="B90" s="32" t="s">
        <v>86</v>
      </c>
      <c r="C90" s="32" t="s">
        <v>85</v>
      </c>
      <c r="D90" s="32" t="s">
        <v>102</v>
      </c>
      <c r="E90" s="34" t="s">
        <v>214</v>
      </c>
      <c r="F90" s="32" t="s">
        <v>217</v>
      </c>
      <c r="G90" s="32" t="s">
        <v>170</v>
      </c>
      <c r="I90" s="16">
        <v>87</v>
      </c>
      <c r="J90" s="39" t="str">
        <f t="shared" si="2"/>
        <v>Опарське ВУПЗГ.ДКС Опари.ВТВ.СОУ.закачка.після ВОГ.E</v>
      </c>
      <c r="K90" s="23" t="s">
        <v>98</v>
      </c>
      <c r="L90" s="23" t="s">
        <v>70</v>
      </c>
      <c r="M90" s="19" t="s">
        <v>7</v>
      </c>
      <c r="N90" s="19" t="s">
        <v>31</v>
      </c>
      <c r="O90" s="19"/>
      <c r="P90" s="19" t="s">
        <v>13</v>
      </c>
      <c r="Q90" s="19" t="s">
        <v>51</v>
      </c>
      <c r="R90" s="19" t="s">
        <v>142</v>
      </c>
      <c r="S90" s="23"/>
      <c r="T90" s="19" t="s">
        <v>50</v>
      </c>
      <c r="U90" s="20" t="s">
        <v>17</v>
      </c>
    </row>
    <row r="91" spans="1:21" x14ac:dyDescent="0.25">
      <c r="A91" s="33" t="s">
        <v>54</v>
      </c>
      <c r="B91" s="34" t="s">
        <v>86</v>
      </c>
      <c r="C91" s="34" t="s">
        <v>85</v>
      </c>
      <c r="D91" s="34" t="s">
        <v>102</v>
      </c>
      <c r="E91" s="34" t="s">
        <v>214</v>
      </c>
      <c r="F91" s="34" t="s">
        <v>216</v>
      </c>
      <c r="G91" s="34" t="s">
        <v>170</v>
      </c>
      <c r="I91" s="16">
        <v>88</v>
      </c>
      <c r="J91" s="39" t="str">
        <f t="shared" si="2"/>
        <v>Опарське ВУПЗГ.ДКС Опари.ВТВ.СОУ.закачка.до ВОГ.E</v>
      </c>
      <c r="K91" s="23" t="s">
        <v>99</v>
      </c>
      <c r="L91" s="23" t="s">
        <v>70</v>
      </c>
      <c r="M91" s="19" t="s">
        <v>7</v>
      </c>
      <c r="N91" s="19" t="s">
        <v>31</v>
      </c>
      <c r="O91" s="19"/>
      <c r="P91" s="19" t="s">
        <v>13</v>
      </c>
      <c r="Q91" s="19" t="s">
        <v>51</v>
      </c>
      <c r="R91" s="19" t="s">
        <v>142</v>
      </c>
      <c r="S91" s="23"/>
      <c r="T91" s="19" t="s">
        <v>50</v>
      </c>
      <c r="U91" s="20" t="s">
        <v>17</v>
      </c>
    </row>
    <row r="92" spans="1:21" x14ac:dyDescent="0.25">
      <c r="A92" s="31" t="s">
        <v>54</v>
      </c>
      <c r="B92" s="32" t="s">
        <v>86</v>
      </c>
      <c r="C92" s="32" t="s">
        <v>85</v>
      </c>
      <c r="D92" s="32" t="s">
        <v>102</v>
      </c>
      <c r="E92" s="32" t="s">
        <v>215</v>
      </c>
      <c r="F92" s="32" t="s">
        <v>217</v>
      </c>
      <c r="G92" s="32" t="s">
        <v>170</v>
      </c>
      <c r="I92" s="16">
        <v>89</v>
      </c>
      <c r="J92" s="39" t="str">
        <f t="shared" si="2"/>
        <v>Опарське ВУПЗГ.ДКС Опари.ВТВ.СОУ.відбір.після ВОГ.E</v>
      </c>
      <c r="K92" s="23" t="s">
        <v>100</v>
      </c>
      <c r="L92" s="23" t="s">
        <v>70</v>
      </c>
      <c r="M92" s="19" t="s">
        <v>7</v>
      </c>
      <c r="N92" s="19" t="s">
        <v>31</v>
      </c>
      <c r="O92" s="19"/>
      <c r="P92" s="19" t="s">
        <v>13</v>
      </c>
      <c r="Q92" s="19" t="s">
        <v>51</v>
      </c>
      <c r="R92" s="19" t="s">
        <v>142</v>
      </c>
      <c r="S92" s="23"/>
      <c r="T92" s="19" t="s">
        <v>50</v>
      </c>
      <c r="U92" s="20" t="s">
        <v>17</v>
      </c>
    </row>
    <row r="93" spans="1:21" x14ac:dyDescent="0.25">
      <c r="A93" s="33" t="s">
        <v>54</v>
      </c>
      <c r="B93" s="34" t="s">
        <v>86</v>
      </c>
      <c r="C93" s="34" t="s">
        <v>85</v>
      </c>
      <c r="D93" s="34" t="s">
        <v>102</v>
      </c>
      <c r="E93" s="32" t="s">
        <v>215</v>
      </c>
      <c r="F93" s="34" t="s">
        <v>216</v>
      </c>
      <c r="G93" s="34" t="s">
        <v>170</v>
      </c>
      <c r="I93" s="16">
        <v>90</v>
      </c>
      <c r="J93" s="39" t="str">
        <f t="shared" si="2"/>
        <v>Опарське ВУПЗГ.ДКС Опари.ВТВ.СОУ.відбір.до ВОГ.E</v>
      </c>
      <c r="K93" s="23" t="s">
        <v>101</v>
      </c>
      <c r="L93" s="23" t="s">
        <v>70</v>
      </c>
      <c r="M93" s="19" t="s">
        <v>7</v>
      </c>
      <c r="N93" s="19" t="s">
        <v>31</v>
      </c>
      <c r="O93" s="19"/>
      <c r="P93" s="19" t="s">
        <v>13</v>
      </c>
      <c r="Q93" s="19" t="s">
        <v>51</v>
      </c>
      <c r="R93" s="19" t="s">
        <v>142</v>
      </c>
      <c r="S93" s="23"/>
      <c r="T93" s="19" t="s">
        <v>50</v>
      </c>
      <c r="U93" s="20" t="s">
        <v>17</v>
      </c>
    </row>
    <row r="94" spans="1:21" x14ac:dyDescent="0.25">
      <c r="A94" s="31" t="s">
        <v>54</v>
      </c>
      <c r="B94" s="32" t="s">
        <v>55</v>
      </c>
      <c r="C94" s="32" t="s">
        <v>85</v>
      </c>
      <c r="D94" s="32" t="s">
        <v>102</v>
      </c>
      <c r="E94" s="34" t="s">
        <v>214</v>
      </c>
      <c r="F94" s="32" t="s">
        <v>217</v>
      </c>
      <c r="G94" s="32" t="s">
        <v>170</v>
      </c>
      <c r="I94" s="16">
        <v>91</v>
      </c>
      <c r="J94" s="39" t="str">
        <f t="shared" si="2"/>
        <v>Опарське ВУПЗГ.ПСГ Опарське.ВТВ.СОУ.закачка.після ВОГ.E</v>
      </c>
      <c r="K94" s="23" t="s">
        <v>98</v>
      </c>
      <c r="L94" s="23" t="s">
        <v>70</v>
      </c>
      <c r="M94" s="19" t="s">
        <v>7</v>
      </c>
      <c r="N94" s="19" t="s">
        <v>31</v>
      </c>
      <c r="O94" s="19"/>
      <c r="P94" s="19" t="s">
        <v>13</v>
      </c>
      <c r="Q94" s="19" t="s">
        <v>51</v>
      </c>
      <c r="R94" s="19" t="s">
        <v>142</v>
      </c>
      <c r="S94" s="23"/>
      <c r="T94" s="19" t="s">
        <v>50</v>
      </c>
      <c r="U94" s="20" t="s">
        <v>17</v>
      </c>
    </row>
    <row r="95" spans="1:21" x14ac:dyDescent="0.25">
      <c r="A95" s="33" t="s">
        <v>54</v>
      </c>
      <c r="B95" s="34" t="s">
        <v>55</v>
      </c>
      <c r="C95" s="34" t="s">
        <v>85</v>
      </c>
      <c r="D95" s="34" t="s">
        <v>102</v>
      </c>
      <c r="E95" s="34" t="s">
        <v>214</v>
      </c>
      <c r="F95" s="34" t="s">
        <v>216</v>
      </c>
      <c r="G95" s="34" t="s">
        <v>170</v>
      </c>
      <c r="I95" s="16">
        <v>92</v>
      </c>
      <c r="J95" s="39" t="str">
        <f t="shared" si="2"/>
        <v>Опарське ВУПЗГ.ПСГ Опарське.ВТВ.СОУ.закачка.до ВОГ.E</v>
      </c>
      <c r="K95" s="23" t="s">
        <v>99</v>
      </c>
      <c r="L95" s="23" t="s">
        <v>70</v>
      </c>
      <c r="M95" s="19" t="s">
        <v>7</v>
      </c>
      <c r="N95" s="19" t="s">
        <v>31</v>
      </c>
      <c r="O95" s="19"/>
      <c r="P95" s="19" t="s">
        <v>13</v>
      </c>
      <c r="Q95" s="19" t="s">
        <v>51</v>
      </c>
      <c r="R95" s="19" t="s">
        <v>142</v>
      </c>
      <c r="S95" s="23"/>
      <c r="T95" s="19" t="s">
        <v>50</v>
      </c>
      <c r="U95" s="20" t="s">
        <v>17</v>
      </c>
    </row>
    <row r="96" spans="1:21" x14ac:dyDescent="0.25">
      <c r="A96" s="31" t="s">
        <v>54</v>
      </c>
      <c r="B96" s="32" t="s">
        <v>55</v>
      </c>
      <c r="C96" s="32" t="s">
        <v>85</v>
      </c>
      <c r="D96" s="32" t="s">
        <v>102</v>
      </c>
      <c r="E96" s="32" t="s">
        <v>215</v>
      </c>
      <c r="F96" s="34" t="s">
        <v>216</v>
      </c>
      <c r="G96" s="32" t="s">
        <v>170</v>
      </c>
      <c r="I96" s="16">
        <v>93</v>
      </c>
      <c r="J96" s="39" t="str">
        <f t="shared" si="2"/>
        <v>Опарське ВУПЗГ.ПСГ Опарське.ВТВ.СОУ.відбір.до ВОГ.E</v>
      </c>
      <c r="K96" s="23" t="s">
        <v>101</v>
      </c>
      <c r="L96" s="23" t="s">
        <v>70</v>
      </c>
      <c r="M96" s="19" t="s">
        <v>7</v>
      </c>
      <c r="N96" s="19" t="s">
        <v>31</v>
      </c>
      <c r="O96" s="19"/>
      <c r="P96" s="19" t="s">
        <v>13</v>
      </c>
      <c r="Q96" s="19" t="s">
        <v>51</v>
      </c>
      <c r="R96" s="19" t="s">
        <v>142</v>
      </c>
      <c r="S96" s="23"/>
      <c r="T96" s="19" t="s">
        <v>50</v>
      </c>
      <c r="U96" s="20" t="s">
        <v>17</v>
      </c>
    </row>
    <row r="97" spans="1:21" s="21" customFormat="1" x14ac:dyDescent="0.25">
      <c r="A97" s="33" t="s">
        <v>54</v>
      </c>
      <c r="B97" s="32" t="s">
        <v>55</v>
      </c>
      <c r="C97" s="34" t="s">
        <v>85</v>
      </c>
      <c r="D97" s="34" t="s">
        <v>109</v>
      </c>
      <c r="E97" s="34" t="s">
        <v>214</v>
      </c>
      <c r="F97" s="34" t="s">
        <v>216</v>
      </c>
      <c r="G97" s="34" t="s">
        <v>170</v>
      </c>
      <c r="I97" s="16">
        <v>94</v>
      </c>
      <c r="J97" s="39" t="str">
        <f t="shared" si="2"/>
        <v>Опарське ВУПЗГ.ПСГ Опарське.ВТВ.Всього.закачка.до ВОГ.E</v>
      </c>
      <c r="K97" s="23" t="s">
        <v>103</v>
      </c>
      <c r="L97" s="23" t="s">
        <v>70</v>
      </c>
      <c r="M97" s="19" t="s">
        <v>7</v>
      </c>
      <c r="N97" s="19" t="s">
        <v>31</v>
      </c>
      <c r="O97" s="19"/>
      <c r="P97" s="19" t="s">
        <v>13</v>
      </c>
      <c r="Q97" s="19" t="s">
        <v>51</v>
      </c>
      <c r="R97" s="19" t="s">
        <v>142</v>
      </c>
      <c r="S97" s="23" t="s">
        <v>174</v>
      </c>
      <c r="T97" s="19" t="s">
        <v>50</v>
      </c>
      <c r="U97" s="20" t="s">
        <v>17</v>
      </c>
    </row>
    <row r="98" spans="1:21" s="21" customFormat="1" x14ac:dyDescent="0.25">
      <c r="A98" s="31" t="s">
        <v>54</v>
      </c>
      <c r="B98" s="32" t="s">
        <v>55</v>
      </c>
      <c r="C98" s="32" t="s">
        <v>85</v>
      </c>
      <c r="D98" s="32" t="s">
        <v>109</v>
      </c>
      <c r="E98" s="34" t="s">
        <v>214</v>
      </c>
      <c r="F98" s="32" t="s">
        <v>217</v>
      </c>
      <c r="G98" s="32" t="s">
        <v>170</v>
      </c>
      <c r="I98" s="16">
        <v>95</v>
      </c>
      <c r="J98" s="39" t="str">
        <f t="shared" si="2"/>
        <v>Опарське ВУПЗГ.ПСГ Опарське.ВТВ.Всього.закачка.після ВОГ.E</v>
      </c>
      <c r="K98" s="23" t="s">
        <v>104</v>
      </c>
      <c r="L98" s="23" t="s">
        <v>70</v>
      </c>
      <c r="M98" s="19" t="s">
        <v>7</v>
      </c>
      <c r="N98" s="19" t="s">
        <v>31</v>
      </c>
      <c r="O98" s="19"/>
      <c r="P98" s="19" t="s">
        <v>13</v>
      </c>
      <c r="Q98" s="19" t="s">
        <v>51</v>
      </c>
      <c r="R98" s="19" t="s">
        <v>142</v>
      </c>
      <c r="S98" s="23" t="s">
        <v>175</v>
      </c>
      <c r="T98" s="19" t="s">
        <v>50</v>
      </c>
      <c r="U98" s="20" t="s">
        <v>17</v>
      </c>
    </row>
    <row r="99" spans="1:21" s="21" customFormat="1" x14ac:dyDescent="0.25">
      <c r="A99" s="33" t="s">
        <v>54</v>
      </c>
      <c r="B99" s="32" t="s">
        <v>55</v>
      </c>
      <c r="C99" s="34" t="s">
        <v>85</v>
      </c>
      <c r="D99" s="34" t="s">
        <v>109</v>
      </c>
      <c r="E99" s="32" t="s">
        <v>215</v>
      </c>
      <c r="F99" s="34" t="s">
        <v>216</v>
      </c>
      <c r="G99" s="34" t="s">
        <v>170</v>
      </c>
      <c r="I99" s="16">
        <v>96</v>
      </c>
      <c r="J99" s="39" t="str">
        <f t="shared" si="2"/>
        <v>Опарське ВУПЗГ.ПСГ Опарське.ВТВ.Всього.відбір.до ВОГ.E</v>
      </c>
      <c r="K99" s="23" t="s">
        <v>105</v>
      </c>
      <c r="L99" s="23" t="s">
        <v>70</v>
      </c>
      <c r="M99" s="19" t="s">
        <v>7</v>
      </c>
      <c r="N99" s="19" t="s">
        <v>31</v>
      </c>
      <c r="O99" s="19"/>
      <c r="P99" s="19" t="s">
        <v>13</v>
      </c>
      <c r="Q99" s="19" t="s">
        <v>51</v>
      </c>
      <c r="R99" s="19" t="s">
        <v>142</v>
      </c>
      <c r="S99" s="23" t="s">
        <v>201</v>
      </c>
      <c r="T99" s="19" t="s">
        <v>50</v>
      </c>
      <c r="U99" s="20" t="s">
        <v>17</v>
      </c>
    </row>
    <row r="100" spans="1:21" s="21" customFormat="1" x14ac:dyDescent="0.25">
      <c r="A100" s="31" t="s">
        <v>54</v>
      </c>
      <c r="B100" s="32" t="s">
        <v>55</v>
      </c>
      <c r="C100" s="32" t="s">
        <v>85</v>
      </c>
      <c r="D100" s="32" t="s">
        <v>109</v>
      </c>
      <c r="E100" s="32" t="s">
        <v>215</v>
      </c>
      <c r="F100" s="32" t="s">
        <v>217</v>
      </c>
      <c r="G100" s="32" t="s">
        <v>170</v>
      </c>
      <c r="I100" s="16">
        <v>97</v>
      </c>
      <c r="J100" s="39" t="str">
        <f t="shared" ref="J100:J131" si="3">CONCATENATE(IF(ISBLANK(A100),"",A100&amp;CHAR(46)), IF(ISBLANK(B100),"",B100&amp;CHAR(46)), IF(ISBLANK(C100),"",C100&amp;CHAR(46)),IF(ISBLANK(D100),"",D100&amp;CHAR(46)), IF(ISBLANK(E100),"",E100&amp;CHAR(46)),IF(ISBLANK(F100),"",F100&amp;CHAR(46)),IF(ISBLANK(G100),"",G100) )</f>
        <v>Опарське ВУПЗГ.ПСГ Опарське.ВТВ.Всього.відбір.після ВОГ.E</v>
      </c>
      <c r="K100" s="23" t="s">
        <v>106</v>
      </c>
      <c r="L100" s="23" t="s">
        <v>70</v>
      </c>
      <c r="M100" s="19" t="s">
        <v>7</v>
      </c>
      <c r="N100" s="19" t="s">
        <v>31</v>
      </c>
      <c r="O100" s="19"/>
      <c r="P100" s="19" t="s">
        <v>13</v>
      </c>
      <c r="Q100" s="19" t="s">
        <v>51</v>
      </c>
      <c r="R100" s="19" t="s">
        <v>142</v>
      </c>
      <c r="S100" s="23" t="s">
        <v>202</v>
      </c>
      <c r="T100" s="19" t="s">
        <v>50</v>
      </c>
      <c r="U100" s="20" t="s">
        <v>17</v>
      </c>
    </row>
    <row r="101" spans="1:21" s="21" customFormat="1" x14ac:dyDescent="0.25">
      <c r="A101" s="33" t="s">
        <v>54</v>
      </c>
      <c r="B101" s="34" t="s">
        <v>111</v>
      </c>
      <c r="C101" s="34" t="s">
        <v>85</v>
      </c>
      <c r="D101" s="34" t="s">
        <v>71</v>
      </c>
      <c r="E101" s="34"/>
      <c r="F101" s="34"/>
      <c r="G101" s="34" t="s">
        <v>170</v>
      </c>
      <c r="I101" s="16">
        <v>98</v>
      </c>
      <c r="J101" s="39" t="str">
        <f t="shared" si="3"/>
        <v>Опарське ВУПЗГ.ДКС Опари КЦ-1.ВТВ.ПВВГ.E</v>
      </c>
      <c r="K101" s="23" t="s">
        <v>110</v>
      </c>
      <c r="L101" s="23" t="s">
        <v>70</v>
      </c>
      <c r="M101" s="19" t="s">
        <v>7</v>
      </c>
      <c r="N101" s="19" t="s">
        <v>31</v>
      </c>
      <c r="O101" s="19"/>
      <c r="P101" s="19" t="s">
        <v>13</v>
      </c>
      <c r="Q101" s="19" t="s">
        <v>51</v>
      </c>
      <c r="R101" s="19" t="s">
        <v>142</v>
      </c>
      <c r="S101" s="23"/>
      <c r="T101" s="19" t="s">
        <v>50</v>
      </c>
      <c r="U101" s="20" t="s">
        <v>17</v>
      </c>
    </row>
    <row r="102" spans="1:21" s="21" customFormat="1" x14ac:dyDescent="0.25">
      <c r="A102" s="31" t="s">
        <v>54</v>
      </c>
      <c r="B102" s="32" t="s">
        <v>111</v>
      </c>
      <c r="C102" s="32" t="s">
        <v>85</v>
      </c>
      <c r="D102" s="32" t="s">
        <v>71</v>
      </c>
      <c r="E102" s="32"/>
      <c r="F102" s="32"/>
      <c r="G102" s="32" t="s">
        <v>170</v>
      </c>
      <c r="I102" s="16">
        <v>99</v>
      </c>
      <c r="J102" s="39" t="str">
        <f t="shared" si="3"/>
        <v>Опарське ВУПЗГ.ДКС Опари КЦ-1.ВТВ.ПВВГ.E</v>
      </c>
      <c r="K102" s="23" t="s">
        <v>112</v>
      </c>
      <c r="L102" s="23" t="s">
        <v>70</v>
      </c>
      <c r="M102" s="19" t="s">
        <v>7</v>
      </c>
      <c r="N102" s="19" t="s">
        <v>31</v>
      </c>
      <c r="O102" s="19"/>
      <c r="P102" s="19" t="s">
        <v>13</v>
      </c>
      <c r="Q102" s="19" t="s">
        <v>51</v>
      </c>
      <c r="R102" s="19" t="s">
        <v>142</v>
      </c>
      <c r="S102" s="23"/>
      <c r="T102" s="19" t="s">
        <v>50</v>
      </c>
      <c r="U102" s="20" t="s">
        <v>17</v>
      </c>
    </row>
    <row r="103" spans="1:21" s="21" customFormat="1" x14ac:dyDescent="0.25">
      <c r="A103" s="33" t="s">
        <v>54</v>
      </c>
      <c r="B103" s="34" t="s">
        <v>111</v>
      </c>
      <c r="C103" s="34" t="s">
        <v>85</v>
      </c>
      <c r="D103" s="34" t="s">
        <v>102</v>
      </c>
      <c r="E103" s="34"/>
      <c r="F103" s="34"/>
      <c r="G103" s="34" t="s">
        <v>170</v>
      </c>
      <c r="I103" s="16">
        <v>100</v>
      </c>
      <c r="J103" s="39" t="str">
        <f t="shared" si="3"/>
        <v>Опарське ВУПЗГ.ДКС Опари КЦ-1.ВТВ.СОУ.E</v>
      </c>
      <c r="K103" s="23" t="s">
        <v>113</v>
      </c>
      <c r="L103" s="23" t="s">
        <v>70</v>
      </c>
      <c r="M103" s="19" t="s">
        <v>7</v>
      </c>
      <c r="N103" s="19" t="s">
        <v>31</v>
      </c>
      <c r="O103" s="19"/>
      <c r="P103" s="19" t="s">
        <v>13</v>
      </c>
      <c r="Q103" s="19" t="s">
        <v>51</v>
      </c>
      <c r="R103" s="19" t="s">
        <v>142</v>
      </c>
      <c r="S103" s="23"/>
      <c r="T103" s="19" t="s">
        <v>50</v>
      </c>
      <c r="U103" s="20" t="s">
        <v>17</v>
      </c>
    </row>
    <row r="104" spans="1:21" s="21" customFormat="1" x14ac:dyDescent="0.25">
      <c r="A104" s="31" t="s">
        <v>54</v>
      </c>
      <c r="B104" s="32" t="s">
        <v>111</v>
      </c>
      <c r="C104" s="32" t="s">
        <v>85</v>
      </c>
      <c r="D104" s="32" t="s">
        <v>71</v>
      </c>
      <c r="E104" s="32"/>
      <c r="F104" s="32"/>
      <c r="G104" s="32" t="s">
        <v>170</v>
      </c>
      <c r="I104" s="16">
        <v>101</v>
      </c>
      <c r="J104" s="39" t="str">
        <f t="shared" si="3"/>
        <v>Опарське ВУПЗГ.ДКС Опари КЦ-1.ВТВ.ПВВГ.E</v>
      </c>
      <c r="K104" s="23" t="s">
        <v>114</v>
      </c>
      <c r="L104" s="23" t="s">
        <v>70</v>
      </c>
      <c r="M104" s="19" t="s">
        <v>7</v>
      </c>
      <c r="N104" s="19" t="s">
        <v>31</v>
      </c>
      <c r="O104" s="19"/>
      <c r="P104" s="19" t="s">
        <v>13</v>
      </c>
      <c r="Q104" s="19" t="s">
        <v>51</v>
      </c>
      <c r="R104" s="19" t="s">
        <v>142</v>
      </c>
      <c r="S104" s="23"/>
      <c r="T104" s="19" t="s">
        <v>50</v>
      </c>
      <c r="U104" s="20" t="s">
        <v>17</v>
      </c>
    </row>
    <row r="105" spans="1:21" s="21" customFormat="1" x14ac:dyDescent="0.25">
      <c r="A105" s="33" t="s">
        <v>54</v>
      </c>
      <c r="B105" s="34" t="s">
        <v>111</v>
      </c>
      <c r="C105" s="34" t="s">
        <v>85</v>
      </c>
      <c r="D105" s="34" t="s">
        <v>71</v>
      </c>
      <c r="E105" s="34"/>
      <c r="F105" s="34"/>
      <c r="G105" s="34" t="s">
        <v>170</v>
      </c>
      <c r="I105" s="16">
        <v>102</v>
      </c>
      <c r="J105" s="39" t="str">
        <f t="shared" si="3"/>
        <v>Опарське ВУПЗГ.ДКС Опари КЦ-1.ВТВ.ПВВГ.E</v>
      </c>
      <c r="K105" s="23" t="s">
        <v>115</v>
      </c>
      <c r="L105" s="23" t="s">
        <v>70</v>
      </c>
      <c r="M105" s="19" t="s">
        <v>7</v>
      </c>
      <c r="N105" s="19" t="s">
        <v>31</v>
      </c>
      <c r="O105" s="19"/>
      <c r="P105" s="19" t="s">
        <v>13</v>
      </c>
      <c r="Q105" s="19" t="s">
        <v>51</v>
      </c>
      <c r="R105" s="19" t="s">
        <v>142</v>
      </c>
      <c r="S105" s="23"/>
      <c r="T105" s="19" t="s">
        <v>50</v>
      </c>
      <c r="U105" s="20" t="s">
        <v>17</v>
      </c>
    </row>
    <row r="106" spans="1:21" s="21" customFormat="1" x14ac:dyDescent="0.25">
      <c r="A106" s="31" t="s">
        <v>54</v>
      </c>
      <c r="B106" s="32" t="s">
        <v>117</v>
      </c>
      <c r="C106" s="32" t="s">
        <v>85</v>
      </c>
      <c r="D106" s="32" t="s">
        <v>71</v>
      </c>
      <c r="E106" s="32"/>
      <c r="F106" s="32"/>
      <c r="G106" s="32" t="s">
        <v>170</v>
      </c>
      <c r="I106" s="16">
        <v>103</v>
      </c>
      <c r="J106" s="39" t="str">
        <f t="shared" si="3"/>
        <v>Опарське ВУПЗГ.ДКС Опари КЦ-2.ВТВ.ПВВГ.E</v>
      </c>
      <c r="K106" s="23" t="s">
        <v>116</v>
      </c>
      <c r="L106" s="23" t="s">
        <v>70</v>
      </c>
      <c r="M106" s="19" t="s">
        <v>7</v>
      </c>
      <c r="N106" s="19" t="s">
        <v>31</v>
      </c>
      <c r="O106" s="19"/>
      <c r="P106" s="19" t="s">
        <v>13</v>
      </c>
      <c r="Q106" s="19" t="s">
        <v>51</v>
      </c>
      <c r="R106" s="19" t="s">
        <v>142</v>
      </c>
      <c r="S106" s="23"/>
      <c r="T106" s="19" t="s">
        <v>50</v>
      </c>
      <c r="U106" s="20" t="s">
        <v>17</v>
      </c>
    </row>
    <row r="107" spans="1:21" s="21" customFormat="1" x14ac:dyDescent="0.25">
      <c r="A107" s="33" t="s">
        <v>54</v>
      </c>
      <c r="B107" s="34" t="s">
        <v>117</v>
      </c>
      <c r="C107" s="34" t="s">
        <v>85</v>
      </c>
      <c r="D107" s="34" t="s">
        <v>71</v>
      </c>
      <c r="E107" s="34"/>
      <c r="F107" s="34"/>
      <c r="G107" s="34" t="s">
        <v>170</v>
      </c>
      <c r="I107" s="16">
        <v>104</v>
      </c>
      <c r="J107" s="39" t="str">
        <f t="shared" si="3"/>
        <v>Опарське ВУПЗГ.ДКС Опари КЦ-2.ВТВ.ПВВГ.E</v>
      </c>
      <c r="K107" s="23" t="s">
        <v>129</v>
      </c>
      <c r="L107" s="23" t="s">
        <v>70</v>
      </c>
      <c r="M107" s="19" t="s">
        <v>7</v>
      </c>
      <c r="N107" s="19" t="s">
        <v>31</v>
      </c>
      <c r="O107" s="19"/>
      <c r="P107" s="19" t="s">
        <v>13</v>
      </c>
      <c r="Q107" s="19" t="s">
        <v>51</v>
      </c>
      <c r="R107" s="19" t="s">
        <v>142</v>
      </c>
      <c r="S107" s="23"/>
      <c r="T107" s="19" t="s">
        <v>50</v>
      </c>
      <c r="U107" s="20" t="s">
        <v>17</v>
      </c>
    </row>
    <row r="108" spans="1:21" s="21" customFormat="1" x14ac:dyDescent="0.25">
      <c r="A108" s="31" t="s">
        <v>54</v>
      </c>
      <c r="B108" s="32" t="s">
        <v>117</v>
      </c>
      <c r="C108" s="32" t="s">
        <v>85</v>
      </c>
      <c r="D108" s="32" t="s">
        <v>102</v>
      </c>
      <c r="E108" s="32"/>
      <c r="F108" s="32"/>
      <c r="G108" s="32" t="s">
        <v>170</v>
      </c>
      <c r="I108" s="16">
        <v>105</v>
      </c>
      <c r="J108" s="39" t="str">
        <f t="shared" si="3"/>
        <v>Опарське ВУПЗГ.ДКС Опари КЦ-2.ВТВ.СОУ.E</v>
      </c>
      <c r="K108" s="23" t="s">
        <v>130</v>
      </c>
      <c r="L108" s="23" t="s">
        <v>70</v>
      </c>
      <c r="M108" s="19" t="s">
        <v>7</v>
      </c>
      <c r="N108" s="19" t="s">
        <v>31</v>
      </c>
      <c r="O108" s="19"/>
      <c r="P108" s="19" t="s">
        <v>13</v>
      </c>
      <c r="Q108" s="19" t="s">
        <v>51</v>
      </c>
      <c r="R108" s="19" t="s">
        <v>142</v>
      </c>
      <c r="S108" s="23"/>
      <c r="T108" s="19" t="s">
        <v>50</v>
      </c>
      <c r="U108" s="20" t="s">
        <v>17</v>
      </c>
    </row>
    <row r="109" spans="1:21" s="21" customFormat="1" x14ac:dyDescent="0.25">
      <c r="A109" s="33" t="s">
        <v>54</v>
      </c>
      <c r="B109" s="34" t="s">
        <v>107</v>
      </c>
      <c r="C109" s="34" t="s">
        <v>85</v>
      </c>
      <c r="D109" s="34" t="s">
        <v>109</v>
      </c>
      <c r="E109" s="34"/>
      <c r="F109" s="34"/>
      <c r="G109" s="34" t="s">
        <v>170</v>
      </c>
      <c r="I109" s="16">
        <v>106</v>
      </c>
      <c r="J109" s="39" t="str">
        <f t="shared" si="3"/>
        <v>Опарське ВУПЗГ.ВТВ Всього.ВТВ.Всього.E</v>
      </c>
      <c r="K109" s="23" t="s">
        <v>108</v>
      </c>
      <c r="L109" s="23" t="s">
        <v>70</v>
      </c>
      <c r="M109" s="19" t="s">
        <v>7</v>
      </c>
      <c r="N109" s="19" t="s">
        <v>31</v>
      </c>
      <c r="O109" s="19"/>
      <c r="P109" s="19" t="s">
        <v>13</v>
      </c>
      <c r="Q109" s="19" t="s">
        <v>51</v>
      </c>
      <c r="R109" s="19" t="s">
        <v>142</v>
      </c>
      <c r="S109" s="23" t="s">
        <v>203</v>
      </c>
      <c r="T109" s="19" t="s">
        <v>50</v>
      </c>
      <c r="U109" s="20" t="s">
        <v>17</v>
      </c>
    </row>
    <row r="110" spans="1:21" x14ac:dyDescent="0.25">
      <c r="A110" s="31" t="s">
        <v>54</v>
      </c>
      <c r="B110" s="32" t="s">
        <v>125</v>
      </c>
      <c r="C110" s="32" t="s">
        <v>85</v>
      </c>
      <c r="D110" s="32" t="s">
        <v>125</v>
      </c>
      <c r="E110" s="32"/>
      <c r="F110" s="32"/>
      <c r="G110" s="32" t="s">
        <v>170</v>
      </c>
      <c r="I110" s="16">
        <v>107</v>
      </c>
      <c r="J110" s="39" t="str">
        <f t="shared" si="3"/>
        <v>Опарське ВУПЗГ.ВТВ ОД.ВТВ.ВТВ ОД.E</v>
      </c>
      <c r="K110" s="23" t="s">
        <v>121</v>
      </c>
      <c r="L110" s="23" t="s">
        <v>70</v>
      </c>
      <c r="M110" s="19" t="s">
        <v>7</v>
      </c>
      <c r="N110" s="19" t="s">
        <v>31</v>
      </c>
      <c r="O110" s="19"/>
      <c r="P110" s="19" t="s">
        <v>13</v>
      </c>
      <c r="Q110" s="19" t="s">
        <v>51</v>
      </c>
      <c r="R110" s="19" t="s">
        <v>142</v>
      </c>
      <c r="S110" s="23"/>
      <c r="T110" s="19" t="s">
        <v>50</v>
      </c>
      <c r="U110" s="20" t="s">
        <v>17</v>
      </c>
    </row>
    <row r="111" spans="1:21" x14ac:dyDescent="0.25">
      <c r="A111" s="33" t="s">
        <v>54</v>
      </c>
      <c r="B111" s="34" t="s">
        <v>125</v>
      </c>
      <c r="C111" s="34" t="s">
        <v>85</v>
      </c>
      <c r="D111" s="34" t="s">
        <v>125</v>
      </c>
      <c r="E111" s="34"/>
      <c r="F111" s="34"/>
      <c r="G111" s="34" t="s">
        <v>170</v>
      </c>
      <c r="I111" s="16">
        <v>108</v>
      </c>
      <c r="J111" s="39" t="str">
        <f t="shared" si="3"/>
        <v>Опарське ВУПЗГ.ВТВ ОД.ВТВ.ВТВ ОД.E</v>
      </c>
      <c r="K111" s="23" t="s">
        <v>118</v>
      </c>
      <c r="L111" s="23" t="s">
        <v>70</v>
      </c>
      <c r="M111" s="19" t="s">
        <v>7</v>
      </c>
      <c r="N111" s="19" t="s">
        <v>31</v>
      </c>
      <c r="O111" s="19"/>
      <c r="P111" s="19" t="s">
        <v>13</v>
      </c>
      <c r="Q111" s="19" t="s">
        <v>51</v>
      </c>
      <c r="R111" s="19" t="s">
        <v>142</v>
      </c>
      <c r="S111" s="23"/>
      <c r="T111" s="19" t="s">
        <v>50</v>
      </c>
      <c r="U111" s="20" t="s">
        <v>17</v>
      </c>
    </row>
    <row r="112" spans="1:21" x14ac:dyDescent="0.25">
      <c r="A112" s="31" t="s">
        <v>54</v>
      </c>
      <c r="B112" s="32" t="s">
        <v>125</v>
      </c>
      <c r="C112" s="32" t="s">
        <v>85</v>
      </c>
      <c r="D112" s="32" t="s">
        <v>125</v>
      </c>
      <c r="E112" s="32"/>
      <c r="F112" s="32"/>
      <c r="G112" s="32" t="s">
        <v>170</v>
      </c>
      <c r="I112" s="16">
        <v>109</v>
      </c>
      <c r="J112" s="39" t="str">
        <f t="shared" si="3"/>
        <v>Опарське ВУПЗГ.ВТВ ОД.ВТВ.ВТВ ОД.E</v>
      </c>
      <c r="K112" s="23" t="s">
        <v>119</v>
      </c>
      <c r="L112" s="23" t="s">
        <v>70</v>
      </c>
      <c r="M112" s="19" t="s">
        <v>7</v>
      </c>
      <c r="N112" s="19" t="s">
        <v>31</v>
      </c>
      <c r="O112" s="19"/>
      <c r="P112" s="19" t="s">
        <v>13</v>
      </c>
      <c r="Q112" s="19" t="s">
        <v>51</v>
      </c>
      <c r="R112" s="19" t="s">
        <v>142</v>
      </c>
      <c r="S112" s="23"/>
      <c r="T112" s="19" t="s">
        <v>50</v>
      </c>
      <c r="U112" s="20" t="s">
        <v>17</v>
      </c>
    </row>
    <row r="113" spans="1:21" x14ac:dyDescent="0.25">
      <c r="A113" s="33" t="s">
        <v>54</v>
      </c>
      <c r="B113" s="34" t="s">
        <v>125</v>
      </c>
      <c r="C113" s="34" t="s">
        <v>85</v>
      </c>
      <c r="D113" s="34" t="s">
        <v>125</v>
      </c>
      <c r="E113" s="34"/>
      <c r="F113" s="34"/>
      <c r="G113" s="34" t="s">
        <v>170</v>
      </c>
      <c r="I113" s="16">
        <v>110</v>
      </c>
      <c r="J113" s="39" t="str">
        <f t="shared" si="3"/>
        <v>Опарське ВУПЗГ.ВТВ ОД.ВТВ.ВТВ ОД.E</v>
      </c>
      <c r="K113" s="23" t="s">
        <v>122</v>
      </c>
      <c r="L113" s="23" t="s">
        <v>70</v>
      </c>
      <c r="M113" s="19" t="s">
        <v>7</v>
      </c>
      <c r="N113" s="19" t="s">
        <v>31</v>
      </c>
      <c r="O113" s="19"/>
      <c r="P113" s="19" t="s">
        <v>13</v>
      </c>
      <c r="Q113" s="19" t="s">
        <v>51</v>
      </c>
      <c r="R113" s="19" t="s">
        <v>142</v>
      </c>
      <c r="S113" s="23"/>
      <c r="T113" s="19" t="s">
        <v>50</v>
      </c>
      <c r="U113" s="20" t="s">
        <v>17</v>
      </c>
    </row>
    <row r="114" spans="1:21" x14ac:dyDescent="0.25">
      <c r="A114" s="31" t="s">
        <v>54</v>
      </c>
      <c r="B114" s="32" t="s">
        <v>126</v>
      </c>
      <c r="C114" s="32" t="s">
        <v>85</v>
      </c>
      <c r="D114" s="32" t="s">
        <v>126</v>
      </c>
      <c r="E114" s="32"/>
      <c r="F114" s="32"/>
      <c r="G114" s="32" t="s">
        <v>170</v>
      </c>
      <c r="I114" s="16">
        <v>111</v>
      </c>
      <c r="J114" s="39" t="str">
        <f t="shared" si="3"/>
        <v>Опарське ВУПЗГ.ВТВ ДД.ВТВ.ВТВ ДД.E</v>
      </c>
      <c r="K114" s="23" t="s">
        <v>120</v>
      </c>
      <c r="L114" s="23" t="s">
        <v>70</v>
      </c>
      <c r="M114" s="19" t="s">
        <v>7</v>
      </c>
      <c r="N114" s="19" t="s">
        <v>31</v>
      </c>
      <c r="O114" s="19"/>
      <c r="P114" s="19" t="s">
        <v>13</v>
      </c>
      <c r="Q114" s="19" t="s">
        <v>51</v>
      </c>
      <c r="R114" s="19" t="s">
        <v>142</v>
      </c>
      <c r="S114" s="23"/>
      <c r="T114" s="19" t="s">
        <v>50</v>
      </c>
      <c r="U114" s="20" t="s">
        <v>17</v>
      </c>
    </row>
    <row r="115" spans="1:21" x14ac:dyDescent="0.25">
      <c r="A115" s="33" t="s">
        <v>54</v>
      </c>
      <c r="B115" s="34" t="s">
        <v>126</v>
      </c>
      <c r="C115" s="34" t="s">
        <v>85</v>
      </c>
      <c r="D115" s="34" t="s">
        <v>126</v>
      </c>
      <c r="E115" s="34"/>
      <c r="F115" s="34"/>
      <c r="G115" s="34" t="s">
        <v>170</v>
      </c>
      <c r="I115" s="16">
        <v>112</v>
      </c>
      <c r="J115" s="39" t="str">
        <f t="shared" si="3"/>
        <v>Опарське ВУПЗГ.ВТВ ДД.ВТВ.ВТВ ДД.E</v>
      </c>
      <c r="K115" s="23" t="s">
        <v>123</v>
      </c>
      <c r="L115" s="23" t="s">
        <v>70</v>
      </c>
      <c r="M115" s="19" t="s">
        <v>7</v>
      </c>
      <c r="N115" s="19" t="s">
        <v>31</v>
      </c>
      <c r="O115" s="19"/>
      <c r="P115" s="19" t="s">
        <v>13</v>
      </c>
      <c r="Q115" s="19" t="s">
        <v>51</v>
      </c>
      <c r="R115" s="19" t="s">
        <v>142</v>
      </c>
      <c r="S115" s="23"/>
      <c r="T115" s="19" t="s">
        <v>50</v>
      </c>
      <c r="U115" s="20" t="s">
        <v>17</v>
      </c>
    </row>
    <row r="116" spans="1:21" x14ac:dyDescent="0.25">
      <c r="A116" s="31" t="s">
        <v>54</v>
      </c>
      <c r="B116" s="32" t="s">
        <v>126</v>
      </c>
      <c r="C116" s="32" t="s">
        <v>85</v>
      </c>
      <c r="D116" s="32" t="s">
        <v>126</v>
      </c>
      <c r="E116" s="32"/>
      <c r="F116" s="32"/>
      <c r="G116" s="32" t="s">
        <v>170</v>
      </c>
      <c r="I116" s="16">
        <v>113</v>
      </c>
      <c r="J116" s="39" t="str">
        <f t="shared" si="3"/>
        <v>Опарське ВУПЗГ.ВТВ ДД.ВТВ.ВТВ ДД.E</v>
      </c>
      <c r="K116" s="23" t="s">
        <v>124</v>
      </c>
      <c r="L116" s="23" t="s">
        <v>70</v>
      </c>
      <c r="M116" s="19" t="s">
        <v>7</v>
      </c>
      <c r="N116" s="19" t="s">
        <v>31</v>
      </c>
      <c r="O116" s="19"/>
      <c r="P116" s="19" t="s">
        <v>13</v>
      </c>
      <c r="Q116" s="19" t="s">
        <v>51</v>
      </c>
      <c r="R116" s="19" t="s">
        <v>142</v>
      </c>
      <c r="S116" s="23"/>
      <c r="T116" s="19" t="s">
        <v>50</v>
      </c>
      <c r="U116" s="20" t="s">
        <v>17</v>
      </c>
    </row>
    <row r="117" spans="1:21" ht="16.5" x14ac:dyDescent="0.25">
      <c r="A117" s="33" t="s">
        <v>54</v>
      </c>
      <c r="B117" s="34" t="s">
        <v>86</v>
      </c>
      <c r="C117" s="34" t="s">
        <v>85</v>
      </c>
      <c r="D117" s="34" t="s">
        <v>71</v>
      </c>
      <c r="E117" s="34"/>
      <c r="F117" s="34"/>
      <c r="G117" s="34" t="s">
        <v>169</v>
      </c>
      <c r="I117" s="16">
        <v>114</v>
      </c>
      <c r="J117" s="39" t="str">
        <f t="shared" si="3"/>
        <v>Опарське ВУПЗГ.ДКС Опари.ВТВ.ПВВГ.GCV</v>
      </c>
      <c r="K117" s="23" t="s">
        <v>88</v>
      </c>
      <c r="L117" s="23" t="s">
        <v>60</v>
      </c>
      <c r="M117" s="19" t="s">
        <v>7</v>
      </c>
      <c r="N117" s="19" t="s">
        <v>31</v>
      </c>
      <c r="O117" s="19"/>
      <c r="P117" s="19" t="s">
        <v>13</v>
      </c>
      <c r="Q117" s="19" t="s">
        <v>51</v>
      </c>
      <c r="R117" s="19" t="s">
        <v>142</v>
      </c>
      <c r="S117" s="23"/>
      <c r="T117" s="19" t="s">
        <v>50</v>
      </c>
      <c r="U117" s="20" t="s">
        <v>17</v>
      </c>
    </row>
    <row r="118" spans="1:21" ht="16.5" x14ac:dyDescent="0.25">
      <c r="A118" s="31" t="s">
        <v>54</v>
      </c>
      <c r="B118" s="32" t="s">
        <v>86</v>
      </c>
      <c r="C118" s="32" t="s">
        <v>85</v>
      </c>
      <c r="D118" s="32" t="s">
        <v>71</v>
      </c>
      <c r="E118" s="34" t="s">
        <v>214</v>
      </c>
      <c r="F118" s="32" t="s">
        <v>217</v>
      </c>
      <c r="G118" s="32" t="s">
        <v>169</v>
      </c>
      <c r="I118" s="16">
        <v>115</v>
      </c>
      <c r="J118" s="39" t="str">
        <f t="shared" si="3"/>
        <v>Опарське ВУПЗГ.ДКС Опари.ВТВ.ПВВГ.закачка.після ВОГ.GCV</v>
      </c>
      <c r="K118" s="23" t="s">
        <v>72</v>
      </c>
      <c r="L118" s="23" t="s">
        <v>60</v>
      </c>
      <c r="M118" s="19" t="s">
        <v>7</v>
      </c>
      <c r="N118" s="19" t="s">
        <v>31</v>
      </c>
      <c r="O118" s="19"/>
      <c r="P118" s="19" t="s">
        <v>13</v>
      </c>
      <c r="Q118" s="19" t="s">
        <v>51</v>
      </c>
      <c r="R118" s="19" t="s">
        <v>142</v>
      </c>
      <c r="S118" s="23"/>
      <c r="T118" s="19" t="s">
        <v>50</v>
      </c>
      <c r="U118" s="20" t="s">
        <v>17</v>
      </c>
    </row>
    <row r="119" spans="1:21" ht="16.5" x14ac:dyDescent="0.25">
      <c r="A119" s="33" t="s">
        <v>54</v>
      </c>
      <c r="B119" s="34" t="s">
        <v>86</v>
      </c>
      <c r="C119" s="34" t="s">
        <v>85</v>
      </c>
      <c r="D119" s="34" t="s">
        <v>71</v>
      </c>
      <c r="E119" s="32" t="s">
        <v>215</v>
      </c>
      <c r="F119" s="32" t="s">
        <v>217</v>
      </c>
      <c r="G119" s="34" t="s">
        <v>169</v>
      </c>
      <c r="I119" s="16">
        <v>116</v>
      </c>
      <c r="J119" s="39" t="str">
        <f t="shared" si="3"/>
        <v>Опарське ВУПЗГ.ДКС Опари.ВТВ.ПВВГ.відбір.після ВОГ.GCV</v>
      </c>
      <c r="K119" s="23" t="s">
        <v>73</v>
      </c>
      <c r="L119" s="23" t="s">
        <v>60</v>
      </c>
      <c r="M119" s="19" t="s">
        <v>7</v>
      </c>
      <c r="N119" s="19" t="s">
        <v>31</v>
      </c>
      <c r="O119" s="19"/>
      <c r="P119" s="19" t="s">
        <v>13</v>
      </c>
      <c r="Q119" s="19" t="s">
        <v>51</v>
      </c>
      <c r="R119" s="19" t="s">
        <v>142</v>
      </c>
      <c r="S119" s="23"/>
      <c r="T119" s="19" t="s">
        <v>50</v>
      </c>
      <c r="U119" s="20" t="s">
        <v>17</v>
      </c>
    </row>
    <row r="120" spans="1:21" ht="16.5" x14ac:dyDescent="0.25">
      <c r="A120" s="31" t="s">
        <v>54</v>
      </c>
      <c r="B120" s="32" t="s">
        <v>86</v>
      </c>
      <c r="C120" s="32" t="s">
        <v>85</v>
      </c>
      <c r="D120" s="32" t="s">
        <v>71</v>
      </c>
      <c r="E120" s="32" t="s">
        <v>215</v>
      </c>
      <c r="F120" s="34" t="s">
        <v>216</v>
      </c>
      <c r="G120" s="32" t="s">
        <v>169</v>
      </c>
      <c r="I120" s="16">
        <v>117</v>
      </c>
      <c r="J120" s="39" t="str">
        <f t="shared" si="3"/>
        <v>Опарське ВУПЗГ.ДКС Опари.ВТВ.ПВВГ.відбір.до ВОГ.GCV</v>
      </c>
      <c r="K120" s="23" t="s">
        <v>74</v>
      </c>
      <c r="L120" s="23" t="s">
        <v>60</v>
      </c>
      <c r="M120" s="19" t="s">
        <v>7</v>
      </c>
      <c r="N120" s="19" t="s">
        <v>31</v>
      </c>
      <c r="O120" s="19"/>
      <c r="P120" s="19" t="s">
        <v>13</v>
      </c>
      <c r="Q120" s="19" t="s">
        <v>51</v>
      </c>
      <c r="R120" s="19" t="s">
        <v>142</v>
      </c>
      <c r="S120" s="23"/>
      <c r="T120" s="19" t="s">
        <v>50</v>
      </c>
      <c r="U120" s="20" t="s">
        <v>17</v>
      </c>
    </row>
    <row r="121" spans="1:21" ht="16.5" x14ac:dyDescent="0.25">
      <c r="A121" s="33" t="s">
        <v>54</v>
      </c>
      <c r="B121" s="34" t="s">
        <v>86</v>
      </c>
      <c r="C121" s="34" t="s">
        <v>85</v>
      </c>
      <c r="D121" s="34" t="s">
        <v>71</v>
      </c>
      <c r="E121" s="34"/>
      <c r="F121" s="32"/>
      <c r="G121" s="34" t="s">
        <v>169</v>
      </c>
      <c r="I121" s="16">
        <v>118</v>
      </c>
      <c r="J121" s="39" t="str">
        <f t="shared" si="3"/>
        <v>Опарське ВУПЗГ.ДКС Опари.ВТВ.ПВВГ.GCV</v>
      </c>
      <c r="K121" s="23" t="s">
        <v>97</v>
      </c>
      <c r="L121" s="23" t="s">
        <v>60</v>
      </c>
      <c r="M121" s="19" t="s">
        <v>7</v>
      </c>
      <c r="N121" s="19" t="s">
        <v>31</v>
      </c>
      <c r="O121" s="19"/>
      <c r="P121" s="19" t="s">
        <v>13</v>
      </c>
      <c r="Q121" s="19" t="s">
        <v>51</v>
      </c>
      <c r="R121" s="19" t="s">
        <v>142</v>
      </c>
      <c r="S121" s="23"/>
      <c r="T121" s="19" t="s">
        <v>50</v>
      </c>
      <c r="U121" s="20" t="s">
        <v>17</v>
      </c>
    </row>
    <row r="122" spans="1:21" ht="16.5" x14ac:dyDescent="0.25">
      <c r="A122" s="31" t="s">
        <v>54</v>
      </c>
      <c r="B122" s="32" t="s">
        <v>86</v>
      </c>
      <c r="C122" s="32" t="s">
        <v>85</v>
      </c>
      <c r="D122" s="32" t="s">
        <v>71</v>
      </c>
      <c r="E122" s="34" t="s">
        <v>214</v>
      </c>
      <c r="F122" s="32" t="s">
        <v>217</v>
      </c>
      <c r="G122" s="32" t="s">
        <v>169</v>
      </c>
      <c r="I122" s="16">
        <v>119</v>
      </c>
      <c r="J122" s="39" t="str">
        <f t="shared" si="3"/>
        <v>Опарське ВУПЗГ.ДКС Опари.ВТВ.ПВВГ.закачка.після ВОГ.GCV</v>
      </c>
      <c r="K122" s="23" t="s">
        <v>75</v>
      </c>
      <c r="L122" s="23" t="s">
        <v>60</v>
      </c>
      <c r="M122" s="19" t="s">
        <v>7</v>
      </c>
      <c r="N122" s="19" t="s">
        <v>31</v>
      </c>
      <c r="O122" s="19"/>
      <c r="P122" s="19" t="s">
        <v>13</v>
      </c>
      <c r="Q122" s="19" t="s">
        <v>51</v>
      </c>
      <c r="R122" s="19" t="s">
        <v>142</v>
      </c>
      <c r="S122" s="23"/>
      <c r="T122" s="19" t="s">
        <v>50</v>
      </c>
      <c r="U122" s="20" t="s">
        <v>17</v>
      </c>
    </row>
    <row r="123" spans="1:21" ht="16.5" x14ac:dyDescent="0.25">
      <c r="A123" s="33" t="s">
        <v>54</v>
      </c>
      <c r="B123" s="34" t="s">
        <v>86</v>
      </c>
      <c r="C123" s="34" t="s">
        <v>85</v>
      </c>
      <c r="D123" s="34" t="s">
        <v>71</v>
      </c>
      <c r="E123" s="32" t="s">
        <v>215</v>
      </c>
      <c r="F123" s="32" t="s">
        <v>217</v>
      </c>
      <c r="G123" s="34" t="s">
        <v>169</v>
      </c>
      <c r="I123" s="16">
        <v>120</v>
      </c>
      <c r="J123" s="39" t="str">
        <f t="shared" si="3"/>
        <v>Опарське ВУПЗГ.ДКС Опари.ВТВ.ПВВГ.відбір.після ВОГ.GCV</v>
      </c>
      <c r="K123" s="23" t="s">
        <v>76</v>
      </c>
      <c r="L123" s="23" t="s">
        <v>60</v>
      </c>
      <c r="M123" s="19" t="s">
        <v>7</v>
      </c>
      <c r="N123" s="19" t="s">
        <v>31</v>
      </c>
      <c r="O123" s="19"/>
      <c r="P123" s="19" t="s">
        <v>13</v>
      </c>
      <c r="Q123" s="19" t="s">
        <v>51</v>
      </c>
      <c r="R123" s="19" t="s">
        <v>142</v>
      </c>
      <c r="S123" s="23"/>
      <c r="T123" s="19" t="s">
        <v>50</v>
      </c>
      <c r="U123" s="20" t="s">
        <v>17</v>
      </c>
    </row>
    <row r="124" spans="1:21" ht="16.5" x14ac:dyDescent="0.25">
      <c r="A124" s="31" t="s">
        <v>54</v>
      </c>
      <c r="B124" s="32" t="s">
        <v>86</v>
      </c>
      <c r="C124" s="32" t="s">
        <v>85</v>
      </c>
      <c r="D124" s="32" t="s">
        <v>71</v>
      </c>
      <c r="E124" s="32" t="s">
        <v>215</v>
      </c>
      <c r="F124" s="34" t="s">
        <v>216</v>
      </c>
      <c r="G124" s="32" t="s">
        <v>169</v>
      </c>
      <c r="I124" s="16">
        <v>121</v>
      </c>
      <c r="J124" s="39" t="str">
        <f t="shared" si="3"/>
        <v>Опарське ВУПЗГ.ДКС Опари.ВТВ.ПВВГ.відбір.до ВОГ.GCV</v>
      </c>
      <c r="K124" s="23" t="s">
        <v>77</v>
      </c>
      <c r="L124" s="23" t="s">
        <v>60</v>
      </c>
      <c r="M124" s="19" t="s">
        <v>7</v>
      </c>
      <c r="N124" s="19" t="s">
        <v>31</v>
      </c>
      <c r="O124" s="19"/>
      <c r="P124" s="19" t="s">
        <v>13</v>
      </c>
      <c r="Q124" s="19" t="s">
        <v>51</v>
      </c>
      <c r="R124" s="19" t="s">
        <v>142</v>
      </c>
      <c r="S124" s="23"/>
      <c r="T124" s="19" t="s">
        <v>50</v>
      </c>
      <c r="U124" s="20" t="s">
        <v>17</v>
      </c>
    </row>
    <row r="125" spans="1:21" ht="16.5" x14ac:dyDescent="0.25">
      <c r="A125" s="33" t="s">
        <v>54</v>
      </c>
      <c r="B125" s="34" t="s">
        <v>86</v>
      </c>
      <c r="C125" s="34" t="s">
        <v>85</v>
      </c>
      <c r="D125" s="34" t="s">
        <v>71</v>
      </c>
      <c r="E125" s="34" t="s">
        <v>214</v>
      </c>
      <c r="F125" s="32" t="s">
        <v>217</v>
      </c>
      <c r="G125" s="34" t="s">
        <v>169</v>
      </c>
      <c r="I125" s="16">
        <v>122</v>
      </c>
      <c r="J125" s="39" t="str">
        <f t="shared" si="3"/>
        <v>Опарське ВУПЗГ.ДКС Опари.ВТВ.ПВВГ.закачка.після ВОГ.GCV</v>
      </c>
      <c r="K125" s="23" t="s">
        <v>78</v>
      </c>
      <c r="L125" s="23" t="s">
        <v>60</v>
      </c>
      <c r="M125" s="19" t="s">
        <v>7</v>
      </c>
      <c r="N125" s="19" t="s">
        <v>31</v>
      </c>
      <c r="O125" s="19"/>
      <c r="P125" s="19" t="s">
        <v>13</v>
      </c>
      <c r="Q125" s="19" t="s">
        <v>51</v>
      </c>
      <c r="R125" s="19" t="s">
        <v>142</v>
      </c>
      <c r="S125" s="23"/>
      <c r="T125" s="19" t="s">
        <v>50</v>
      </c>
      <c r="U125" s="20" t="s">
        <v>17</v>
      </c>
    </row>
    <row r="126" spans="1:21" ht="16.5" x14ac:dyDescent="0.25">
      <c r="A126" s="31" t="s">
        <v>54</v>
      </c>
      <c r="B126" s="32" t="s">
        <v>86</v>
      </c>
      <c r="C126" s="32" t="s">
        <v>85</v>
      </c>
      <c r="D126" s="32" t="s">
        <v>71</v>
      </c>
      <c r="E126" s="32" t="s">
        <v>215</v>
      </c>
      <c r="F126" s="32" t="s">
        <v>217</v>
      </c>
      <c r="G126" s="32" t="s">
        <v>169</v>
      </c>
      <c r="I126" s="16">
        <v>123</v>
      </c>
      <c r="J126" s="39" t="str">
        <f t="shared" si="3"/>
        <v>Опарське ВУПЗГ.ДКС Опари.ВТВ.ПВВГ.відбір.після ВОГ.GCV</v>
      </c>
      <c r="K126" s="23" t="s">
        <v>79</v>
      </c>
      <c r="L126" s="23" t="s">
        <v>60</v>
      </c>
      <c r="M126" s="19" t="s">
        <v>7</v>
      </c>
      <c r="N126" s="19" t="s">
        <v>31</v>
      </c>
      <c r="O126" s="19"/>
      <c r="P126" s="19" t="s">
        <v>13</v>
      </c>
      <c r="Q126" s="19" t="s">
        <v>51</v>
      </c>
      <c r="R126" s="19" t="s">
        <v>142</v>
      </c>
      <c r="S126" s="23"/>
      <c r="T126" s="19" t="s">
        <v>50</v>
      </c>
      <c r="U126" s="20" t="s">
        <v>17</v>
      </c>
    </row>
    <row r="127" spans="1:21" ht="16.5" x14ac:dyDescent="0.25">
      <c r="A127" s="33" t="s">
        <v>54</v>
      </c>
      <c r="B127" s="34" t="s">
        <v>86</v>
      </c>
      <c r="C127" s="34" t="s">
        <v>85</v>
      </c>
      <c r="D127" s="34" t="s">
        <v>71</v>
      </c>
      <c r="E127" s="32" t="s">
        <v>215</v>
      </c>
      <c r="F127" s="34" t="s">
        <v>216</v>
      </c>
      <c r="G127" s="34" t="s">
        <v>169</v>
      </c>
      <c r="I127" s="16">
        <v>124</v>
      </c>
      <c r="J127" s="39" t="str">
        <f t="shared" si="3"/>
        <v>Опарське ВУПЗГ.ДКС Опари.ВТВ.ПВВГ.відбір.до ВОГ.GCV</v>
      </c>
      <c r="K127" s="23" t="s">
        <v>80</v>
      </c>
      <c r="L127" s="23" t="s">
        <v>60</v>
      </c>
      <c r="M127" s="19" t="s">
        <v>7</v>
      </c>
      <c r="N127" s="19" t="s">
        <v>31</v>
      </c>
      <c r="O127" s="19"/>
      <c r="P127" s="19" t="s">
        <v>13</v>
      </c>
      <c r="Q127" s="19" t="s">
        <v>51</v>
      </c>
      <c r="R127" s="19" t="s">
        <v>142</v>
      </c>
      <c r="S127" s="23"/>
      <c r="T127" s="19" t="s">
        <v>50</v>
      </c>
      <c r="U127" s="20" t="s">
        <v>17</v>
      </c>
    </row>
    <row r="128" spans="1:21" ht="16.5" x14ac:dyDescent="0.25">
      <c r="A128" s="31" t="s">
        <v>54</v>
      </c>
      <c r="B128" s="32" t="s">
        <v>55</v>
      </c>
      <c r="C128" s="32" t="s">
        <v>85</v>
      </c>
      <c r="D128" s="32" t="s">
        <v>71</v>
      </c>
      <c r="E128" s="34"/>
      <c r="F128" s="32"/>
      <c r="G128" s="32" t="s">
        <v>169</v>
      </c>
      <c r="I128" s="16">
        <v>125</v>
      </c>
      <c r="J128" s="39" t="str">
        <f t="shared" si="3"/>
        <v>Опарське ВУПЗГ.ПСГ Опарське.ВТВ.ПВВГ.GCV</v>
      </c>
      <c r="K128" s="23" t="s">
        <v>81</v>
      </c>
      <c r="L128" s="23" t="s">
        <v>60</v>
      </c>
      <c r="M128" s="19" t="s">
        <v>7</v>
      </c>
      <c r="N128" s="19" t="s">
        <v>31</v>
      </c>
      <c r="O128" s="19"/>
      <c r="P128" s="19" t="s">
        <v>13</v>
      </c>
      <c r="Q128" s="19" t="s">
        <v>51</v>
      </c>
      <c r="R128" s="19" t="s">
        <v>142</v>
      </c>
      <c r="S128" s="23"/>
      <c r="T128" s="19" t="s">
        <v>50</v>
      </c>
      <c r="U128" s="20" t="s">
        <v>17</v>
      </c>
    </row>
    <row r="129" spans="1:21" ht="16.5" x14ac:dyDescent="0.25">
      <c r="A129" s="33" t="s">
        <v>54</v>
      </c>
      <c r="B129" s="34" t="s">
        <v>55</v>
      </c>
      <c r="C129" s="34" t="s">
        <v>85</v>
      </c>
      <c r="D129" s="34" t="s">
        <v>71</v>
      </c>
      <c r="E129" s="34" t="s">
        <v>214</v>
      </c>
      <c r="F129" s="34" t="s">
        <v>216</v>
      </c>
      <c r="G129" s="34" t="s">
        <v>169</v>
      </c>
      <c r="I129" s="16">
        <v>126</v>
      </c>
      <c r="J129" s="39" t="str">
        <f t="shared" si="3"/>
        <v>Опарське ВУПЗГ.ПСГ Опарське.ВТВ.ПВВГ.закачка.до ВОГ.GCV</v>
      </c>
      <c r="K129" s="23" t="s">
        <v>82</v>
      </c>
      <c r="L129" s="23" t="s">
        <v>60</v>
      </c>
      <c r="M129" s="19" t="s">
        <v>7</v>
      </c>
      <c r="N129" s="19" t="s">
        <v>31</v>
      </c>
      <c r="O129" s="19"/>
      <c r="P129" s="19" t="s">
        <v>13</v>
      </c>
      <c r="Q129" s="19" t="s">
        <v>51</v>
      </c>
      <c r="R129" s="19" t="s">
        <v>142</v>
      </c>
      <c r="S129" s="23"/>
      <c r="T129" s="19" t="s">
        <v>50</v>
      </c>
      <c r="U129" s="20" t="s">
        <v>17</v>
      </c>
    </row>
    <row r="130" spans="1:21" ht="16.5" x14ac:dyDescent="0.25">
      <c r="A130" s="31" t="s">
        <v>54</v>
      </c>
      <c r="B130" s="32" t="s">
        <v>55</v>
      </c>
      <c r="C130" s="32" t="s">
        <v>85</v>
      </c>
      <c r="D130" s="32" t="s">
        <v>71</v>
      </c>
      <c r="E130" s="32" t="s">
        <v>215</v>
      </c>
      <c r="F130" s="32" t="s">
        <v>217</v>
      </c>
      <c r="G130" s="32" t="s">
        <v>169</v>
      </c>
      <c r="I130" s="16">
        <v>127</v>
      </c>
      <c r="J130" s="39" t="str">
        <f t="shared" si="3"/>
        <v>Опарське ВУПЗГ.ПСГ Опарське.ВТВ.ПВВГ.відбір.після ВОГ.GCV</v>
      </c>
      <c r="K130" s="23" t="s">
        <v>83</v>
      </c>
      <c r="L130" s="23" t="s">
        <v>60</v>
      </c>
      <c r="M130" s="19" t="s">
        <v>7</v>
      </c>
      <c r="N130" s="19" t="s">
        <v>31</v>
      </c>
      <c r="O130" s="19"/>
      <c r="P130" s="19" t="s">
        <v>13</v>
      </c>
      <c r="Q130" s="19" t="s">
        <v>51</v>
      </c>
      <c r="R130" s="19" t="s">
        <v>142</v>
      </c>
      <c r="S130" s="23"/>
      <c r="T130" s="19" t="s">
        <v>50</v>
      </c>
      <c r="U130" s="20" t="s">
        <v>17</v>
      </c>
    </row>
    <row r="131" spans="1:21" ht="16.5" x14ac:dyDescent="0.25">
      <c r="A131" s="33" t="s">
        <v>54</v>
      </c>
      <c r="B131" s="34" t="s">
        <v>55</v>
      </c>
      <c r="C131" s="34" t="s">
        <v>85</v>
      </c>
      <c r="D131" s="34" t="s">
        <v>71</v>
      </c>
      <c r="E131" s="32" t="s">
        <v>215</v>
      </c>
      <c r="F131" s="34" t="s">
        <v>216</v>
      </c>
      <c r="G131" s="34" t="s">
        <v>169</v>
      </c>
      <c r="I131" s="16">
        <v>128</v>
      </c>
      <c r="J131" s="39" t="str">
        <f t="shared" si="3"/>
        <v>Опарське ВУПЗГ.ПСГ Опарське.ВТВ.ПВВГ.відбір.до ВОГ.GCV</v>
      </c>
      <c r="K131" s="23" t="s">
        <v>84</v>
      </c>
      <c r="L131" s="23" t="s">
        <v>60</v>
      </c>
      <c r="M131" s="19" t="s">
        <v>7</v>
      </c>
      <c r="N131" s="19" t="s">
        <v>31</v>
      </c>
      <c r="O131" s="19"/>
      <c r="P131" s="19" t="s">
        <v>13</v>
      </c>
      <c r="Q131" s="19" t="s">
        <v>51</v>
      </c>
      <c r="R131" s="19" t="s">
        <v>142</v>
      </c>
      <c r="S131" s="23"/>
      <c r="T131" s="19" t="s">
        <v>50</v>
      </c>
      <c r="U131" s="20" t="s">
        <v>17</v>
      </c>
    </row>
    <row r="132" spans="1:21" ht="16.5" x14ac:dyDescent="0.25">
      <c r="A132" s="31" t="s">
        <v>54</v>
      </c>
      <c r="B132" s="32" t="s">
        <v>86</v>
      </c>
      <c r="C132" s="32" t="s">
        <v>85</v>
      </c>
      <c r="D132" s="32" t="s">
        <v>71</v>
      </c>
      <c r="E132" s="34"/>
      <c r="F132" s="32"/>
      <c r="G132" s="32" t="s">
        <v>169</v>
      </c>
      <c r="I132" s="16">
        <v>129</v>
      </c>
      <c r="J132" s="39" t="str">
        <f t="shared" ref="J132:J159" si="4">CONCATENATE(IF(ISBLANK(A132),"",A132&amp;CHAR(46)), IF(ISBLANK(B132),"",B132&amp;CHAR(46)), IF(ISBLANK(C132),"",C132&amp;CHAR(46)),IF(ISBLANK(D132),"",D132&amp;CHAR(46)), IF(ISBLANK(E132),"",E132&amp;CHAR(46)),IF(ISBLANK(F132),"",F132&amp;CHAR(46)),IF(ISBLANK(G132),"",G132) )</f>
        <v>Опарське ВУПЗГ.ДКС Опари.ВТВ.ПВВГ.GCV</v>
      </c>
      <c r="K132" s="23" t="s">
        <v>87</v>
      </c>
      <c r="L132" s="23" t="s">
        <v>60</v>
      </c>
      <c r="M132" s="19" t="s">
        <v>7</v>
      </c>
      <c r="N132" s="19" t="s">
        <v>31</v>
      </c>
      <c r="O132" s="19"/>
      <c r="P132" s="19" t="s">
        <v>13</v>
      </c>
      <c r="Q132" s="19" t="s">
        <v>51</v>
      </c>
      <c r="R132" s="19" t="s">
        <v>142</v>
      </c>
      <c r="S132" s="23"/>
      <c r="T132" s="19" t="s">
        <v>50</v>
      </c>
      <c r="U132" s="20" t="s">
        <v>17</v>
      </c>
    </row>
    <row r="133" spans="1:21" ht="16.5" x14ac:dyDescent="0.25">
      <c r="A133" s="33" t="s">
        <v>54</v>
      </c>
      <c r="B133" s="34" t="s">
        <v>86</v>
      </c>
      <c r="C133" s="34" t="s">
        <v>85</v>
      </c>
      <c r="D133" s="34" t="s">
        <v>71</v>
      </c>
      <c r="E133" s="34" t="s">
        <v>214</v>
      </c>
      <c r="F133" s="32" t="s">
        <v>217</v>
      </c>
      <c r="G133" s="34" t="s">
        <v>169</v>
      </c>
      <c r="I133" s="16">
        <v>130</v>
      </c>
      <c r="J133" s="39" t="str">
        <f t="shared" si="4"/>
        <v>Опарське ВУПЗГ.ДКС Опари.ВТВ.ПВВГ.закачка.після ВОГ.GCV</v>
      </c>
      <c r="K133" s="23" t="s">
        <v>90</v>
      </c>
      <c r="L133" s="23" t="s">
        <v>60</v>
      </c>
      <c r="M133" s="19" t="s">
        <v>7</v>
      </c>
      <c r="N133" s="19" t="s">
        <v>31</v>
      </c>
      <c r="O133" s="19"/>
      <c r="P133" s="19" t="s">
        <v>13</v>
      </c>
      <c r="Q133" s="19" t="s">
        <v>51</v>
      </c>
      <c r="R133" s="19" t="s">
        <v>142</v>
      </c>
      <c r="S133" s="23"/>
      <c r="T133" s="19" t="s">
        <v>50</v>
      </c>
      <c r="U133" s="20" t="s">
        <v>17</v>
      </c>
    </row>
    <row r="134" spans="1:21" ht="16.5" x14ac:dyDescent="0.25">
      <c r="A134" s="31" t="s">
        <v>54</v>
      </c>
      <c r="B134" s="32" t="s">
        <v>86</v>
      </c>
      <c r="C134" s="32" t="s">
        <v>85</v>
      </c>
      <c r="D134" s="32" t="s">
        <v>71</v>
      </c>
      <c r="E134" s="32" t="s">
        <v>215</v>
      </c>
      <c r="F134" s="32" t="s">
        <v>217</v>
      </c>
      <c r="G134" s="32" t="s">
        <v>169</v>
      </c>
      <c r="I134" s="16">
        <v>131</v>
      </c>
      <c r="J134" s="39" t="str">
        <f t="shared" si="4"/>
        <v>Опарське ВУПЗГ.ДКС Опари.ВТВ.ПВВГ.відбір.після ВОГ.GCV</v>
      </c>
      <c r="K134" s="23" t="s">
        <v>91</v>
      </c>
      <c r="L134" s="23" t="s">
        <v>60</v>
      </c>
      <c r="M134" s="19" t="s">
        <v>7</v>
      </c>
      <c r="N134" s="19" t="s">
        <v>31</v>
      </c>
      <c r="O134" s="19"/>
      <c r="P134" s="19" t="s">
        <v>13</v>
      </c>
      <c r="Q134" s="19" t="s">
        <v>51</v>
      </c>
      <c r="R134" s="19" t="s">
        <v>142</v>
      </c>
      <c r="S134" s="23"/>
      <c r="T134" s="19" t="s">
        <v>50</v>
      </c>
      <c r="U134" s="20" t="s">
        <v>17</v>
      </c>
    </row>
    <row r="135" spans="1:21" ht="16.5" x14ac:dyDescent="0.25">
      <c r="A135" s="33" t="s">
        <v>54</v>
      </c>
      <c r="B135" s="34" t="s">
        <v>86</v>
      </c>
      <c r="C135" s="34" t="s">
        <v>85</v>
      </c>
      <c r="D135" s="34" t="s">
        <v>71</v>
      </c>
      <c r="E135" s="32" t="s">
        <v>215</v>
      </c>
      <c r="F135" s="34" t="s">
        <v>216</v>
      </c>
      <c r="G135" s="34" t="s">
        <v>169</v>
      </c>
      <c r="I135" s="16">
        <v>132</v>
      </c>
      <c r="J135" s="39" t="str">
        <f t="shared" si="4"/>
        <v>Опарське ВУПЗГ.ДКС Опари.ВТВ.ПВВГ.відбір.до ВОГ.GCV</v>
      </c>
      <c r="K135" s="23" t="s">
        <v>92</v>
      </c>
      <c r="L135" s="23" t="s">
        <v>60</v>
      </c>
      <c r="M135" s="19" t="s">
        <v>7</v>
      </c>
      <c r="N135" s="19" t="s">
        <v>31</v>
      </c>
      <c r="O135" s="19"/>
      <c r="P135" s="19" t="s">
        <v>13</v>
      </c>
      <c r="Q135" s="19" t="s">
        <v>51</v>
      </c>
      <c r="R135" s="19" t="s">
        <v>142</v>
      </c>
      <c r="S135" s="23"/>
      <c r="T135" s="19" t="s">
        <v>50</v>
      </c>
      <c r="U135" s="20" t="s">
        <v>17</v>
      </c>
    </row>
    <row r="136" spans="1:21" ht="16.5" x14ac:dyDescent="0.25">
      <c r="A136" s="31" t="s">
        <v>54</v>
      </c>
      <c r="B136" s="32" t="s">
        <v>86</v>
      </c>
      <c r="C136" s="32" t="s">
        <v>85</v>
      </c>
      <c r="D136" s="32" t="s">
        <v>71</v>
      </c>
      <c r="E136" s="34" t="s">
        <v>214</v>
      </c>
      <c r="F136" s="32" t="s">
        <v>217</v>
      </c>
      <c r="G136" s="32" t="s">
        <v>169</v>
      </c>
      <c r="I136" s="16">
        <v>133</v>
      </c>
      <c r="J136" s="39" t="str">
        <f t="shared" si="4"/>
        <v>Опарське ВУПЗГ.ДКС Опари.ВТВ.ПВВГ.закачка.після ВОГ.GCV</v>
      </c>
      <c r="K136" s="23" t="s">
        <v>93</v>
      </c>
      <c r="L136" s="23" t="s">
        <v>60</v>
      </c>
      <c r="M136" s="19" t="s">
        <v>7</v>
      </c>
      <c r="N136" s="19" t="s">
        <v>31</v>
      </c>
      <c r="O136" s="19"/>
      <c r="P136" s="19" t="s">
        <v>13</v>
      </c>
      <c r="Q136" s="19" t="s">
        <v>51</v>
      </c>
      <c r="R136" s="19" t="s">
        <v>142</v>
      </c>
      <c r="S136" s="23"/>
      <c r="T136" s="19" t="s">
        <v>50</v>
      </c>
      <c r="U136" s="20" t="s">
        <v>17</v>
      </c>
    </row>
    <row r="137" spans="1:21" ht="16.5" x14ac:dyDescent="0.25">
      <c r="A137" s="33" t="s">
        <v>54</v>
      </c>
      <c r="B137" s="34" t="s">
        <v>86</v>
      </c>
      <c r="C137" s="34" t="s">
        <v>85</v>
      </c>
      <c r="D137" s="34" t="s">
        <v>71</v>
      </c>
      <c r="E137" s="32" t="s">
        <v>215</v>
      </c>
      <c r="F137" s="32" t="s">
        <v>217</v>
      </c>
      <c r="G137" s="34" t="s">
        <v>169</v>
      </c>
      <c r="I137" s="16">
        <v>134</v>
      </c>
      <c r="J137" s="39" t="str">
        <f t="shared" si="4"/>
        <v>Опарське ВУПЗГ.ДКС Опари.ВТВ.ПВВГ.відбір.після ВОГ.GCV</v>
      </c>
      <c r="K137" s="23" t="s">
        <v>94</v>
      </c>
      <c r="L137" s="23" t="s">
        <v>60</v>
      </c>
      <c r="M137" s="19" t="s">
        <v>7</v>
      </c>
      <c r="N137" s="19" t="s">
        <v>31</v>
      </c>
      <c r="O137" s="19"/>
      <c r="P137" s="19" t="s">
        <v>13</v>
      </c>
      <c r="Q137" s="19" t="s">
        <v>51</v>
      </c>
      <c r="R137" s="19" t="s">
        <v>142</v>
      </c>
      <c r="S137" s="23"/>
      <c r="T137" s="19" t="s">
        <v>50</v>
      </c>
      <c r="U137" s="20" t="s">
        <v>17</v>
      </c>
    </row>
    <row r="138" spans="1:21" ht="16.5" x14ac:dyDescent="0.25">
      <c r="A138" s="31" t="s">
        <v>54</v>
      </c>
      <c r="B138" s="32" t="s">
        <v>86</v>
      </c>
      <c r="C138" s="32" t="s">
        <v>85</v>
      </c>
      <c r="D138" s="32" t="s">
        <v>71</v>
      </c>
      <c r="E138" s="32" t="s">
        <v>215</v>
      </c>
      <c r="F138" s="34" t="s">
        <v>216</v>
      </c>
      <c r="G138" s="32" t="s">
        <v>169</v>
      </c>
      <c r="I138" s="16">
        <v>135</v>
      </c>
      <c r="J138" s="39" t="str">
        <f t="shared" si="4"/>
        <v>Опарське ВУПЗГ.ДКС Опари.ВТВ.ПВВГ.відбір.до ВОГ.GCV</v>
      </c>
      <c r="K138" s="23" t="s">
        <v>95</v>
      </c>
      <c r="L138" s="23" t="s">
        <v>60</v>
      </c>
      <c r="M138" s="19" t="s">
        <v>7</v>
      </c>
      <c r="N138" s="19" t="s">
        <v>31</v>
      </c>
      <c r="O138" s="19"/>
      <c r="P138" s="19" t="s">
        <v>13</v>
      </c>
      <c r="Q138" s="19" t="s">
        <v>51</v>
      </c>
      <c r="R138" s="19" t="s">
        <v>142</v>
      </c>
      <c r="S138" s="23"/>
      <c r="T138" s="19" t="s">
        <v>50</v>
      </c>
      <c r="U138" s="20" t="s">
        <v>17</v>
      </c>
    </row>
    <row r="139" spans="1:21" ht="16.5" x14ac:dyDescent="0.25">
      <c r="A139" s="33" t="s">
        <v>54</v>
      </c>
      <c r="B139" s="34" t="s">
        <v>86</v>
      </c>
      <c r="C139" s="34" t="s">
        <v>85</v>
      </c>
      <c r="D139" s="34" t="s">
        <v>71</v>
      </c>
      <c r="E139" s="34"/>
      <c r="F139" s="32"/>
      <c r="G139" s="34" t="s">
        <v>169</v>
      </c>
      <c r="I139" s="16">
        <v>136</v>
      </c>
      <c r="J139" s="39" t="str">
        <f t="shared" si="4"/>
        <v>Опарське ВУПЗГ.ДКС Опари.ВТВ.ПВВГ.GCV</v>
      </c>
      <c r="K139" s="23" t="s">
        <v>96</v>
      </c>
      <c r="L139" s="23" t="s">
        <v>60</v>
      </c>
      <c r="M139" s="19" t="s">
        <v>7</v>
      </c>
      <c r="N139" s="19" t="s">
        <v>31</v>
      </c>
      <c r="O139" s="19"/>
      <c r="P139" s="19" t="s">
        <v>13</v>
      </c>
      <c r="Q139" s="19" t="s">
        <v>51</v>
      </c>
      <c r="R139" s="19" t="s">
        <v>142</v>
      </c>
      <c r="S139" s="23"/>
      <c r="T139" s="19" t="s">
        <v>50</v>
      </c>
      <c r="U139" s="20" t="s">
        <v>17</v>
      </c>
    </row>
    <row r="140" spans="1:21" ht="16.5" x14ac:dyDescent="0.25">
      <c r="A140" s="31" t="s">
        <v>54</v>
      </c>
      <c r="B140" s="32" t="s">
        <v>86</v>
      </c>
      <c r="C140" s="32" t="s">
        <v>85</v>
      </c>
      <c r="D140" s="32" t="s">
        <v>102</v>
      </c>
      <c r="E140" s="34" t="s">
        <v>214</v>
      </c>
      <c r="F140" s="32" t="s">
        <v>217</v>
      </c>
      <c r="G140" s="32" t="s">
        <v>169</v>
      </c>
      <c r="I140" s="16">
        <v>137</v>
      </c>
      <c r="J140" s="39" t="str">
        <f t="shared" si="4"/>
        <v>Опарське ВУПЗГ.ДКС Опари.ВТВ.СОУ.закачка.після ВОГ.GCV</v>
      </c>
      <c r="K140" s="23" t="s">
        <v>98</v>
      </c>
      <c r="L140" s="23" t="s">
        <v>60</v>
      </c>
      <c r="M140" s="19" t="s">
        <v>7</v>
      </c>
      <c r="N140" s="19" t="s">
        <v>31</v>
      </c>
      <c r="O140" s="19"/>
      <c r="P140" s="19" t="s">
        <v>13</v>
      </c>
      <c r="Q140" s="19" t="s">
        <v>51</v>
      </c>
      <c r="R140" s="19" t="s">
        <v>142</v>
      </c>
      <c r="S140" s="23"/>
      <c r="T140" s="19" t="s">
        <v>50</v>
      </c>
      <c r="U140" s="20" t="s">
        <v>17</v>
      </c>
    </row>
    <row r="141" spans="1:21" ht="16.5" x14ac:dyDescent="0.25">
      <c r="A141" s="33" t="s">
        <v>54</v>
      </c>
      <c r="B141" s="34" t="s">
        <v>86</v>
      </c>
      <c r="C141" s="34" t="s">
        <v>85</v>
      </c>
      <c r="D141" s="34" t="s">
        <v>102</v>
      </c>
      <c r="E141" s="34" t="s">
        <v>214</v>
      </c>
      <c r="F141" s="34" t="s">
        <v>216</v>
      </c>
      <c r="G141" s="34" t="s">
        <v>169</v>
      </c>
      <c r="I141" s="16">
        <v>138</v>
      </c>
      <c r="J141" s="39" t="str">
        <f t="shared" si="4"/>
        <v>Опарське ВУПЗГ.ДКС Опари.ВТВ.СОУ.закачка.до ВОГ.GCV</v>
      </c>
      <c r="K141" s="23" t="s">
        <v>99</v>
      </c>
      <c r="L141" s="23" t="s">
        <v>60</v>
      </c>
      <c r="M141" s="19" t="s">
        <v>7</v>
      </c>
      <c r="N141" s="19" t="s">
        <v>31</v>
      </c>
      <c r="O141" s="19"/>
      <c r="P141" s="19" t="s">
        <v>13</v>
      </c>
      <c r="Q141" s="19" t="s">
        <v>51</v>
      </c>
      <c r="R141" s="19" t="s">
        <v>142</v>
      </c>
      <c r="S141" s="23"/>
      <c r="T141" s="19" t="s">
        <v>50</v>
      </c>
      <c r="U141" s="20" t="s">
        <v>17</v>
      </c>
    </row>
    <row r="142" spans="1:21" ht="16.5" x14ac:dyDescent="0.25">
      <c r="A142" s="31" t="s">
        <v>54</v>
      </c>
      <c r="B142" s="32" t="s">
        <v>86</v>
      </c>
      <c r="C142" s="32" t="s">
        <v>85</v>
      </c>
      <c r="D142" s="32" t="s">
        <v>102</v>
      </c>
      <c r="E142" s="32" t="s">
        <v>215</v>
      </c>
      <c r="F142" s="32" t="s">
        <v>217</v>
      </c>
      <c r="G142" s="32" t="s">
        <v>169</v>
      </c>
      <c r="I142" s="16">
        <v>139</v>
      </c>
      <c r="J142" s="39" t="str">
        <f t="shared" si="4"/>
        <v>Опарське ВУПЗГ.ДКС Опари.ВТВ.СОУ.відбір.після ВОГ.GCV</v>
      </c>
      <c r="K142" s="23" t="s">
        <v>100</v>
      </c>
      <c r="L142" s="23" t="s">
        <v>60</v>
      </c>
      <c r="M142" s="19" t="s">
        <v>7</v>
      </c>
      <c r="N142" s="19" t="s">
        <v>31</v>
      </c>
      <c r="O142" s="19"/>
      <c r="P142" s="19" t="s">
        <v>13</v>
      </c>
      <c r="Q142" s="19" t="s">
        <v>51</v>
      </c>
      <c r="R142" s="19" t="s">
        <v>142</v>
      </c>
      <c r="S142" s="23"/>
      <c r="T142" s="19" t="s">
        <v>50</v>
      </c>
      <c r="U142" s="20" t="s">
        <v>17</v>
      </c>
    </row>
    <row r="143" spans="1:21" ht="16.5" x14ac:dyDescent="0.25">
      <c r="A143" s="33" t="s">
        <v>54</v>
      </c>
      <c r="B143" s="34" t="s">
        <v>86</v>
      </c>
      <c r="C143" s="34" t="s">
        <v>85</v>
      </c>
      <c r="D143" s="34" t="s">
        <v>102</v>
      </c>
      <c r="E143" s="32" t="s">
        <v>215</v>
      </c>
      <c r="F143" s="34" t="s">
        <v>216</v>
      </c>
      <c r="G143" s="34" t="s">
        <v>169</v>
      </c>
      <c r="I143" s="16">
        <v>140</v>
      </c>
      <c r="J143" s="39" t="str">
        <f t="shared" si="4"/>
        <v>Опарське ВУПЗГ.ДКС Опари.ВТВ.СОУ.відбір.до ВОГ.GCV</v>
      </c>
      <c r="K143" s="23" t="s">
        <v>101</v>
      </c>
      <c r="L143" s="23" t="s">
        <v>60</v>
      </c>
      <c r="M143" s="19" t="s">
        <v>7</v>
      </c>
      <c r="N143" s="19" t="s">
        <v>31</v>
      </c>
      <c r="O143" s="19"/>
      <c r="P143" s="19" t="s">
        <v>13</v>
      </c>
      <c r="Q143" s="19" t="s">
        <v>51</v>
      </c>
      <c r="R143" s="19" t="s">
        <v>142</v>
      </c>
      <c r="S143" s="23"/>
      <c r="T143" s="19" t="s">
        <v>50</v>
      </c>
      <c r="U143" s="20" t="s">
        <v>17</v>
      </c>
    </row>
    <row r="144" spans="1:21" ht="16.5" x14ac:dyDescent="0.25">
      <c r="A144" s="31" t="s">
        <v>54</v>
      </c>
      <c r="B144" s="32" t="s">
        <v>55</v>
      </c>
      <c r="C144" s="32" t="s">
        <v>85</v>
      </c>
      <c r="D144" s="32" t="s">
        <v>102</v>
      </c>
      <c r="E144" s="34" t="s">
        <v>214</v>
      </c>
      <c r="F144" s="32" t="s">
        <v>217</v>
      </c>
      <c r="G144" s="32" t="s">
        <v>169</v>
      </c>
      <c r="I144" s="16">
        <v>141</v>
      </c>
      <c r="J144" s="39" t="str">
        <f t="shared" si="4"/>
        <v>Опарське ВУПЗГ.ПСГ Опарське.ВТВ.СОУ.закачка.після ВОГ.GCV</v>
      </c>
      <c r="K144" s="23" t="s">
        <v>98</v>
      </c>
      <c r="L144" s="23" t="s">
        <v>60</v>
      </c>
      <c r="M144" s="19" t="s">
        <v>7</v>
      </c>
      <c r="N144" s="19" t="s">
        <v>31</v>
      </c>
      <c r="O144" s="19"/>
      <c r="P144" s="19" t="s">
        <v>13</v>
      </c>
      <c r="Q144" s="19" t="s">
        <v>51</v>
      </c>
      <c r="R144" s="19" t="s">
        <v>142</v>
      </c>
      <c r="S144" s="23"/>
      <c r="T144" s="19" t="s">
        <v>50</v>
      </c>
      <c r="U144" s="20" t="s">
        <v>17</v>
      </c>
    </row>
    <row r="145" spans="1:21" ht="16.5" x14ac:dyDescent="0.25">
      <c r="A145" s="33" t="s">
        <v>54</v>
      </c>
      <c r="B145" s="34" t="s">
        <v>55</v>
      </c>
      <c r="C145" s="34" t="s">
        <v>85</v>
      </c>
      <c r="D145" s="34" t="s">
        <v>102</v>
      </c>
      <c r="E145" s="34" t="s">
        <v>214</v>
      </c>
      <c r="F145" s="34" t="s">
        <v>216</v>
      </c>
      <c r="G145" s="34" t="s">
        <v>169</v>
      </c>
      <c r="I145" s="16">
        <v>142</v>
      </c>
      <c r="J145" s="39" t="str">
        <f t="shared" si="4"/>
        <v>Опарське ВУПЗГ.ПСГ Опарське.ВТВ.СОУ.закачка.до ВОГ.GCV</v>
      </c>
      <c r="K145" s="23" t="s">
        <v>99</v>
      </c>
      <c r="L145" s="23" t="s">
        <v>60</v>
      </c>
      <c r="M145" s="19" t="s">
        <v>7</v>
      </c>
      <c r="N145" s="19" t="s">
        <v>31</v>
      </c>
      <c r="O145" s="19"/>
      <c r="P145" s="19" t="s">
        <v>13</v>
      </c>
      <c r="Q145" s="19" t="s">
        <v>51</v>
      </c>
      <c r="R145" s="19" t="s">
        <v>142</v>
      </c>
      <c r="S145" s="23"/>
      <c r="T145" s="19" t="s">
        <v>50</v>
      </c>
      <c r="U145" s="20" t="s">
        <v>17</v>
      </c>
    </row>
    <row r="146" spans="1:21" ht="16.5" x14ac:dyDescent="0.25">
      <c r="A146" s="31" t="s">
        <v>54</v>
      </c>
      <c r="B146" s="32" t="s">
        <v>55</v>
      </c>
      <c r="C146" s="32" t="s">
        <v>85</v>
      </c>
      <c r="D146" s="32" t="s">
        <v>102</v>
      </c>
      <c r="E146" s="32" t="s">
        <v>215</v>
      </c>
      <c r="F146" s="34" t="s">
        <v>216</v>
      </c>
      <c r="G146" s="32" t="s">
        <v>169</v>
      </c>
      <c r="I146" s="16">
        <v>143</v>
      </c>
      <c r="J146" s="39" t="str">
        <f t="shared" si="4"/>
        <v>Опарське ВУПЗГ.ПСГ Опарське.ВТВ.СОУ.відбір.до ВОГ.GCV</v>
      </c>
      <c r="K146" s="23" t="s">
        <v>101</v>
      </c>
      <c r="L146" s="23" t="s">
        <v>60</v>
      </c>
      <c r="M146" s="19" t="s">
        <v>7</v>
      </c>
      <c r="N146" s="19" t="s">
        <v>31</v>
      </c>
      <c r="O146" s="19"/>
      <c r="P146" s="19" t="s">
        <v>13</v>
      </c>
      <c r="Q146" s="19" t="s">
        <v>51</v>
      </c>
      <c r="R146" s="19" t="s">
        <v>142</v>
      </c>
      <c r="S146" s="23"/>
      <c r="T146" s="19" t="s">
        <v>50</v>
      </c>
      <c r="U146" s="20" t="s">
        <v>17</v>
      </c>
    </row>
    <row r="147" spans="1:21" ht="16.5" x14ac:dyDescent="0.25">
      <c r="A147" s="33" t="s">
        <v>54</v>
      </c>
      <c r="B147" s="34" t="s">
        <v>111</v>
      </c>
      <c r="C147" s="34" t="s">
        <v>85</v>
      </c>
      <c r="D147" s="34" t="s">
        <v>71</v>
      </c>
      <c r="E147" s="34"/>
      <c r="F147" s="34"/>
      <c r="G147" s="34" t="s">
        <v>169</v>
      </c>
      <c r="I147" s="16">
        <v>144</v>
      </c>
      <c r="J147" s="39" t="str">
        <f t="shared" si="4"/>
        <v>Опарське ВУПЗГ.ДКС Опари КЦ-1.ВТВ.ПВВГ.GCV</v>
      </c>
      <c r="K147" s="23" t="s">
        <v>110</v>
      </c>
      <c r="L147" s="23" t="s">
        <v>60</v>
      </c>
      <c r="M147" s="19" t="s">
        <v>7</v>
      </c>
      <c r="N147" s="19" t="s">
        <v>31</v>
      </c>
      <c r="O147" s="19"/>
      <c r="P147" s="19" t="s">
        <v>13</v>
      </c>
      <c r="Q147" s="19" t="s">
        <v>51</v>
      </c>
      <c r="R147" s="19" t="s">
        <v>142</v>
      </c>
      <c r="S147" s="23"/>
      <c r="T147" s="19" t="s">
        <v>50</v>
      </c>
      <c r="U147" s="20" t="s">
        <v>17</v>
      </c>
    </row>
    <row r="148" spans="1:21" ht="16.5" x14ac:dyDescent="0.25">
      <c r="A148" s="31" t="s">
        <v>54</v>
      </c>
      <c r="B148" s="32" t="s">
        <v>111</v>
      </c>
      <c r="C148" s="32" t="s">
        <v>85</v>
      </c>
      <c r="D148" s="32" t="s">
        <v>71</v>
      </c>
      <c r="E148" s="32"/>
      <c r="F148" s="32"/>
      <c r="G148" s="32" t="s">
        <v>169</v>
      </c>
      <c r="I148" s="16">
        <v>145</v>
      </c>
      <c r="J148" s="39" t="str">
        <f t="shared" si="4"/>
        <v>Опарське ВУПЗГ.ДКС Опари КЦ-1.ВТВ.ПВВГ.GCV</v>
      </c>
      <c r="K148" s="23" t="s">
        <v>112</v>
      </c>
      <c r="L148" s="23" t="s">
        <v>60</v>
      </c>
      <c r="M148" s="19" t="s">
        <v>7</v>
      </c>
      <c r="N148" s="19" t="s">
        <v>31</v>
      </c>
      <c r="O148" s="19"/>
      <c r="P148" s="19" t="s">
        <v>13</v>
      </c>
      <c r="Q148" s="19" t="s">
        <v>51</v>
      </c>
      <c r="R148" s="19" t="s">
        <v>142</v>
      </c>
      <c r="S148" s="23"/>
      <c r="T148" s="19" t="s">
        <v>50</v>
      </c>
      <c r="U148" s="20" t="s">
        <v>17</v>
      </c>
    </row>
    <row r="149" spans="1:21" ht="16.5" x14ac:dyDescent="0.25">
      <c r="A149" s="33" t="s">
        <v>54</v>
      </c>
      <c r="B149" s="34" t="s">
        <v>111</v>
      </c>
      <c r="C149" s="34" t="s">
        <v>85</v>
      </c>
      <c r="D149" s="34" t="s">
        <v>102</v>
      </c>
      <c r="E149" s="34"/>
      <c r="F149" s="34"/>
      <c r="G149" s="34" t="s">
        <v>169</v>
      </c>
      <c r="I149" s="16">
        <v>146</v>
      </c>
      <c r="J149" s="39" t="str">
        <f t="shared" si="4"/>
        <v>Опарське ВУПЗГ.ДКС Опари КЦ-1.ВТВ.СОУ.GCV</v>
      </c>
      <c r="K149" s="23" t="s">
        <v>113</v>
      </c>
      <c r="L149" s="23" t="s">
        <v>60</v>
      </c>
      <c r="M149" s="19" t="s">
        <v>7</v>
      </c>
      <c r="N149" s="19" t="s">
        <v>31</v>
      </c>
      <c r="O149" s="19"/>
      <c r="P149" s="19" t="s">
        <v>13</v>
      </c>
      <c r="Q149" s="19" t="s">
        <v>51</v>
      </c>
      <c r="R149" s="19" t="s">
        <v>142</v>
      </c>
      <c r="S149" s="23"/>
      <c r="T149" s="19" t="s">
        <v>50</v>
      </c>
      <c r="U149" s="20" t="s">
        <v>17</v>
      </c>
    </row>
    <row r="150" spans="1:21" ht="16.5" x14ac:dyDescent="0.25">
      <c r="A150" s="31" t="s">
        <v>54</v>
      </c>
      <c r="B150" s="32" t="s">
        <v>111</v>
      </c>
      <c r="C150" s="32" t="s">
        <v>85</v>
      </c>
      <c r="D150" s="32" t="s">
        <v>71</v>
      </c>
      <c r="E150" s="32"/>
      <c r="F150" s="32"/>
      <c r="G150" s="32" t="s">
        <v>169</v>
      </c>
      <c r="I150" s="16">
        <v>147</v>
      </c>
      <c r="J150" s="39" t="str">
        <f t="shared" si="4"/>
        <v>Опарське ВУПЗГ.ДКС Опари КЦ-1.ВТВ.ПВВГ.GCV</v>
      </c>
      <c r="K150" s="23" t="s">
        <v>114</v>
      </c>
      <c r="L150" s="23" t="s">
        <v>60</v>
      </c>
      <c r="M150" s="19" t="s">
        <v>7</v>
      </c>
      <c r="N150" s="19" t="s">
        <v>31</v>
      </c>
      <c r="O150" s="19"/>
      <c r="P150" s="19" t="s">
        <v>13</v>
      </c>
      <c r="Q150" s="19" t="s">
        <v>51</v>
      </c>
      <c r="R150" s="19" t="s">
        <v>142</v>
      </c>
      <c r="S150" s="23"/>
      <c r="T150" s="19" t="s">
        <v>50</v>
      </c>
      <c r="U150" s="20" t="s">
        <v>17</v>
      </c>
    </row>
    <row r="151" spans="1:21" ht="16.5" x14ac:dyDescent="0.25">
      <c r="A151" s="33" t="s">
        <v>54</v>
      </c>
      <c r="B151" s="34" t="s">
        <v>111</v>
      </c>
      <c r="C151" s="34" t="s">
        <v>85</v>
      </c>
      <c r="D151" s="34" t="s">
        <v>71</v>
      </c>
      <c r="E151" s="34"/>
      <c r="F151" s="34"/>
      <c r="G151" s="34" t="s">
        <v>169</v>
      </c>
      <c r="I151" s="16">
        <v>148</v>
      </c>
      <c r="J151" s="39" t="str">
        <f t="shared" si="4"/>
        <v>Опарське ВУПЗГ.ДКС Опари КЦ-1.ВТВ.ПВВГ.GCV</v>
      </c>
      <c r="K151" s="23" t="s">
        <v>115</v>
      </c>
      <c r="L151" s="23" t="s">
        <v>60</v>
      </c>
      <c r="M151" s="19" t="s">
        <v>7</v>
      </c>
      <c r="N151" s="19" t="s">
        <v>31</v>
      </c>
      <c r="O151" s="19"/>
      <c r="P151" s="19" t="s">
        <v>13</v>
      </c>
      <c r="Q151" s="19" t="s">
        <v>51</v>
      </c>
      <c r="R151" s="19" t="s">
        <v>142</v>
      </c>
      <c r="S151" s="23"/>
      <c r="T151" s="19" t="s">
        <v>50</v>
      </c>
      <c r="U151" s="20" t="s">
        <v>17</v>
      </c>
    </row>
    <row r="152" spans="1:21" ht="16.5" x14ac:dyDescent="0.25">
      <c r="A152" s="31" t="s">
        <v>54</v>
      </c>
      <c r="B152" s="32" t="s">
        <v>117</v>
      </c>
      <c r="C152" s="32" t="s">
        <v>85</v>
      </c>
      <c r="D152" s="32" t="s">
        <v>71</v>
      </c>
      <c r="E152" s="32"/>
      <c r="F152" s="32"/>
      <c r="G152" s="32" t="s">
        <v>169</v>
      </c>
      <c r="I152" s="16">
        <v>149</v>
      </c>
      <c r="J152" s="39" t="str">
        <f t="shared" si="4"/>
        <v>Опарське ВУПЗГ.ДКС Опари КЦ-2.ВТВ.ПВВГ.GCV</v>
      </c>
      <c r="K152" s="23" t="s">
        <v>116</v>
      </c>
      <c r="L152" s="23" t="s">
        <v>60</v>
      </c>
      <c r="M152" s="19" t="s">
        <v>7</v>
      </c>
      <c r="N152" s="19" t="s">
        <v>31</v>
      </c>
      <c r="O152" s="19"/>
      <c r="P152" s="19" t="s">
        <v>13</v>
      </c>
      <c r="Q152" s="19" t="s">
        <v>51</v>
      </c>
      <c r="R152" s="19" t="s">
        <v>142</v>
      </c>
      <c r="S152" s="23"/>
      <c r="T152" s="19" t="s">
        <v>50</v>
      </c>
      <c r="U152" s="20" t="s">
        <v>17</v>
      </c>
    </row>
    <row r="153" spans="1:21" ht="16.5" x14ac:dyDescent="0.25">
      <c r="A153" s="33" t="s">
        <v>54</v>
      </c>
      <c r="B153" s="34" t="s">
        <v>117</v>
      </c>
      <c r="C153" s="34" t="s">
        <v>85</v>
      </c>
      <c r="D153" s="34" t="s">
        <v>71</v>
      </c>
      <c r="E153" s="34"/>
      <c r="F153" s="34"/>
      <c r="G153" s="34" t="s">
        <v>169</v>
      </c>
      <c r="I153" s="16">
        <v>150</v>
      </c>
      <c r="J153" s="39" t="str">
        <f t="shared" si="4"/>
        <v>Опарське ВУПЗГ.ДКС Опари КЦ-2.ВТВ.ПВВГ.GCV</v>
      </c>
      <c r="K153" s="23" t="s">
        <v>129</v>
      </c>
      <c r="L153" s="23" t="s">
        <v>60</v>
      </c>
      <c r="M153" s="19" t="s">
        <v>7</v>
      </c>
      <c r="N153" s="19" t="s">
        <v>31</v>
      </c>
      <c r="O153" s="19"/>
      <c r="P153" s="19" t="s">
        <v>13</v>
      </c>
      <c r="Q153" s="19" t="s">
        <v>51</v>
      </c>
      <c r="R153" s="19" t="s">
        <v>142</v>
      </c>
      <c r="S153" s="23"/>
      <c r="T153" s="19" t="s">
        <v>50</v>
      </c>
      <c r="U153" s="20" t="s">
        <v>17</v>
      </c>
    </row>
    <row r="154" spans="1:21" ht="16.5" x14ac:dyDescent="0.25">
      <c r="A154" s="31" t="s">
        <v>54</v>
      </c>
      <c r="B154" s="32" t="s">
        <v>117</v>
      </c>
      <c r="C154" s="32" t="s">
        <v>85</v>
      </c>
      <c r="D154" s="32" t="s">
        <v>102</v>
      </c>
      <c r="E154" s="32"/>
      <c r="F154" s="32"/>
      <c r="G154" s="32" t="s">
        <v>169</v>
      </c>
      <c r="I154" s="16">
        <v>151</v>
      </c>
      <c r="J154" s="39" t="str">
        <f t="shared" si="4"/>
        <v>Опарське ВУПЗГ.ДКС Опари КЦ-2.ВТВ.СОУ.GCV</v>
      </c>
      <c r="K154" s="23" t="s">
        <v>130</v>
      </c>
      <c r="L154" s="23" t="s">
        <v>60</v>
      </c>
      <c r="M154" s="19" t="s">
        <v>7</v>
      </c>
      <c r="N154" s="19" t="s">
        <v>31</v>
      </c>
      <c r="O154" s="19"/>
      <c r="P154" s="19" t="s">
        <v>13</v>
      </c>
      <c r="Q154" s="19" t="s">
        <v>51</v>
      </c>
      <c r="R154" s="19" t="s">
        <v>142</v>
      </c>
      <c r="S154" s="23"/>
      <c r="T154" s="19" t="s">
        <v>50</v>
      </c>
      <c r="U154" s="20" t="s">
        <v>17</v>
      </c>
    </row>
    <row r="155" spans="1:21" ht="16.5" x14ac:dyDescent="0.25">
      <c r="A155" s="33" t="s">
        <v>54</v>
      </c>
      <c r="B155" s="34" t="s">
        <v>55</v>
      </c>
      <c r="C155" s="34" t="s">
        <v>127</v>
      </c>
      <c r="D155" s="34" t="s">
        <v>128</v>
      </c>
      <c r="E155" s="34"/>
      <c r="F155" s="34"/>
      <c r="G155" s="34" t="s">
        <v>168</v>
      </c>
      <c r="I155" s="16">
        <v>152</v>
      </c>
      <c r="J155" s="39" t="str">
        <f t="shared" si="4"/>
        <v>Опарське ВУПЗГ.ПСГ Опарське.ГАЗ в ПЗГ.Акт.ГАЗ.Q</v>
      </c>
      <c r="K155" s="23" t="s">
        <v>131</v>
      </c>
      <c r="L155" s="23" t="s">
        <v>69</v>
      </c>
      <c r="M155" s="19" t="s">
        <v>7</v>
      </c>
      <c r="N155" s="19" t="s">
        <v>31</v>
      </c>
      <c r="O155" s="19"/>
      <c r="P155" s="19" t="s">
        <v>13</v>
      </c>
      <c r="Q155" s="19" t="s">
        <v>51</v>
      </c>
      <c r="R155" s="19" t="s">
        <v>142</v>
      </c>
      <c r="S155" s="23" t="s">
        <v>462</v>
      </c>
      <c r="T155" s="19" t="s">
        <v>50</v>
      </c>
      <c r="U155" s="20" t="s">
        <v>17</v>
      </c>
    </row>
    <row r="156" spans="1:21" x14ac:dyDescent="0.25">
      <c r="A156" s="31" t="s">
        <v>54</v>
      </c>
      <c r="B156" s="32" t="s">
        <v>55</v>
      </c>
      <c r="C156" s="32" t="s">
        <v>127</v>
      </c>
      <c r="D156" s="32" t="s">
        <v>128</v>
      </c>
      <c r="E156" s="32"/>
      <c r="F156" s="32"/>
      <c r="G156" s="32" t="s">
        <v>170</v>
      </c>
      <c r="I156" s="16">
        <v>153</v>
      </c>
      <c r="J156" s="39" t="str">
        <f t="shared" si="4"/>
        <v>Опарське ВУПЗГ.ПСГ Опарське.ГАЗ в ПЗГ.Акт.ГАЗ.E</v>
      </c>
      <c r="K156" s="23" t="s">
        <v>131</v>
      </c>
      <c r="L156" s="23" t="s">
        <v>70</v>
      </c>
      <c r="M156" s="19" t="s">
        <v>7</v>
      </c>
      <c r="N156" s="19" t="s">
        <v>31</v>
      </c>
      <c r="O156" s="19"/>
      <c r="P156" s="19" t="s">
        <v>13</v>
      </c>
      <c r="Q156" s="19" t="s">
        <v>51</v>
      </c>
      <c r="R156" s="19" t="s">
        <v>142</v>
      </c>
      <c r="S156" s="23" t="s">
        <v>463</v>
      </c>
      <c r="T156" s="19" t="s">
        <v>50</v>
      </c>
      <c r="U156" s="20" t="s">
        <v>17</v>
      </c>
    </row>
    <row r="157" spans="1:21" ht="16.5" x14ac:dyDescent="0.25">
      <c r="A157" s="33" t="s">
        <v>54</v>
      </c>
      <c r="B157" s="34" t="s">
        <v>55</v>
      </c>
      <c r="C157" s="34" t="s">
        <v>127</v>
      </c>
      <c r="D157" s="34" t="s">
        <v>128</v>
      </c>
      <c r="E157" s="34"/>
      <c r="F157" s="34"/>
      <c r="G157" s="34" t="s">
        <v>169</v>
      </c>
      <c r="I157" s="16">
        <v>154</v>
      </c>
      <c r="J157" s="39" t="str">
        <f t="shared" si="4"/>
        <v>Опарське ВУПЗГ.ПСГ Опарське.ГАЗ в ПЗГ.Акт.ГАЗ.GCV</v>
      </c>
      <c r="K157" s="23" t="s">
        <v>132</v>
      </c>
      <c r="L157" s="23" t="s">
        <v>60</v>
      </c>
      <c r="M157" s="19" t="s">
        <v>7</v>
      </c>
      <c r="N157" s="19" t="s">
        <v>31</v>
      </c>
      <c r="O157" s="19"/>
      <c r="P157" s="19" t="s">
        <v>13</v>
      </c>
      <c r="Q157" s="19" t="s">
        <v>51</v>
      </c>
      <c r="R157" s="19" t="s">
        <v>142</v>
      </c>
      <c r="S157" s="23"/>
      <c r="T157" s="19" t="s">
        <v>50</v>
      </c>
      <c r="U157" s="20" t="s">
        <v>17</v>
      </c>
    </row>
    <row r="158" spans="1:21" x14ac:dyDescent="0.25">
      <c r="A158" s="31" t="s">
        <v>54</v>
      </c>
      <c r="B158" s="32" t="s">
        <v>55</v>
      </c>
      <c r="C158" s="32" t="s">
        <v>133</v>
      </c>
      <c r="D158" s="32" t="s">
        <v>85</v>
      </c>
      <c r="E158" s="32"/>
      <c r="F158" s="32"/>
      <c r="G158" s="32" t="s">
        <v>211</v>
      </c>
      <c r="I158" s="16">
        <v>155</v>
      </c>
      <c r="J158" s="39" t="str">
        <f t="shared" si="4"/>
        <v>Опарське ВУПЗГ.ПСГ Опарське.Електороенергія.ВТВ.EE</v>
      </c>
      <c r="K158" s="23" t="s">
        <v>134</v>
      </c>
      <c r="L158" s="23" t="s">
        <v>70</v>
      </c>
      <c r="M158" s="19" t="s">
        <v>7</v>
      </c>
      <c r="N158" s="19" t="s">
        <v>31</v>
      </c>
      <c r="O158" s="19"/>
      <c r="P158" s="19" t="s">
        <v>13</v>
      </c>
      <c r="Q158" s="19" t="s">
        <v>51</v>
      </c>
      <c r="R158" s="19" t="s">
        <v>142</v>
      </c>
      <c r="S158" s="23"/>
      <c r="T158" s="19" t="s">
        <v>50</v>
      </c>
      <c r="U158" s="20" t="s">
        <v>17</v>
      </c>
    </row>
    <row r="159" spans="1:21" x14ac:dyDescent="0.25">
      <c r="A159" s="37" t="s">
        <v>54</v>
      </c>
      <c r="B159" s="38" t="s">
        <v>55</v>
      </c>
      <c r="C159" s="38" t="s">
        <v>137</v>
      </c>
      <c r="D159" s="38" t="s">
        <v>135</v>
      </c>
      <c r="E159" s="38"/>
      <c r="F159" s="38"/>
      <c r="G159" s="38"/>
      <c r="I159" s="16">
        <v>156</v>
      </c>
      <c r="J159" s="39" t="str">
        <f t="shared" si="4"/>
        <v>Опарське ВУПЗГ.ПСГ Опарське.ПСГ.Режим.</v>
      </c>
      <c r="K159" s="23" t="s">
        <v>136</v>
      </c>
      <c r="L159" s="23"/>
      <c r="M159" s="23"/>
      <c r="N159" s="23"/>
      <c r="O159" s="23" t="s">
        <v>8</v>
      </c>
      <c r="P159" s="23"/>
      <c r="Q159" s="23"/>
      <c r="R159" s="23"/>
      <c r="S159" s="23"/>
      <c r="T159" s="19" t="s">
        <v>50</v>
      </c>
      <c r="U159" s="19" t="s">
        <v>159</v>
      </c>
    </row>
    <row r="160" spans="1:21" x14ac:dyDescent="0.25">
      <c r="A160" s="82" t="s">
        <v>54</v>
      </c>
      <c r="B160" s="80" t="s">
        <v>55</v>
      </c>
      <c r="C160" s="80" t="s">
        <v>89</v>
      </c>
      <c r="D160" s="80" t="s">
        <v>396</v>
      </c>
      <c r="E160" s="44"/>
      <c r="F160" s="44"/>
      <c r="G160" s="1" t="s">
        <v>168</v>
      </c>
      <c r="I160" s="16">
        <v>157</v>
      </c>
      <c r="J160" s="39" t="str">
        <f t="shared" ref="J160:J165" si="5">CONCATENATE(IF(ISBLANK(A160),"",A160&amp;CHAR(46)), IF(ISBLANK(B160),"",B160&amp;CHAR(46)), IF(ISBLANK(C160),"",C160&amp;CHAR(46)),IF(ISBLANK(D160),"",D160&amp;CHAR(46)), IF(ISBLANK(E160),"",E160&amp;CHAR(46)),IF(ISBLANK(F160),"",F160&amp;CHAR(46)),IF(ISBLANK(G160),"",G160) )</f>
        <v>Опарське ВУПЗГ.ПСГ Опарське.ВОГ ПСГ.Годинні.Q</v>
      </c>
      <c r="K160" s="23" t="s">
        <v>424</v>
      </c>
      <c r="L160" s="19" t="s">
        <v>158</v>
      </c>
      <c r="M160" s="19" t="s">
        <v>7</v>
      </c>
      <c r="N160" s="19" t="s">
        <v>31</v>
      </c>
      <c r="O160" s="19"/>
      <c r="P160" s="19" t="s">
        <v>8</v>
      </c>
      <c r="Q160" s="19" t="s">
        <v>51</v>
      </c>
      <c r="R160" s="19" t="s">
        <v>395</v>
      </c>
      <c r="S160" s="23"/>
      <c r="T160" s="19" t="s">
        <v>50</v>
      </c>
      <c r="U160" s="20" t="s">
        <v>17</v>
      </c>
    </row>
    <row r="161" spans="1:21" x14ac:dyDescent="0.25">
      <c r="A161" s="82" t="s">
        <v>54</v>
      </c>
      <c r="B161" s="80" t="s">
        <v>55</v>
      </c>
      <c r="C161" s="80" t="s">
        <v>89</v>
      </c>
      <c r="D161" s="80" t="s">
        <v>397</v>
      </c>
      <c r="E161" s="44"/>
      <c r="F161" s="44"/>
      <c r="G161" s="1" t="s">
        <v>168</v>
      </c>
      <c r="I161" s="16">
        <v>158</v>
      </c>
      <c r="J161" s="39" t="str">
        <f t="shared" si="5"/>
        <v>Опарське ВУПЗГ.ПСГ Опарське.ВОГ ПСГ.Миттєві.Q</v>
      </c>
      <c r="K161" s="23" t="s">
        <v>424</v>
      </c>
      <c r="L161" s="19" t="s">
        <v>398</v>
      </c>
      <c r="M161" s="19" t="s">
        <v>7</v>
      </c>
      <c r="N161" s="19" t="s">
        <v>31</v>
      </c>
      <c r="O161" s="19"/>
      <c r="P161" s="19" t="s">
        <v>8</v>
      </c>
      <c r="Q161" s="19" t="s">
        <v>51</v>
      </c>
      <c r="R161" s="19"/>
      <c r="S161" s="23"/>
      <c r="T161" s="19" t="s">
        <v>50</v>
      </c>
      <c r="U161" s="19" t="s">
        <v>17</v>
      </c>
    </row>
    <row r="162" spans="1:21" x14ac:dyDescent="0.25">
      <c r="A162" s="82" t="s">
        <v>54</v>
      </c>
      <c r="B162" s="80" t="s">
        <v>55</v>
      </c>
      <c r="C162" s="80" t="s">
        <v>89</v>
      </c>
      <c r="D162" s="80" t="s">
        <v>396</v>
      </c>
      <c r="E162" s="44"/>
      <c r="F162" s="44"/>
      <c r="G162" s="1" t="s">
        <v>333</v>
      </c>
      <c r="I162" s="16">
        <v>159</v>
      </c>
      <c r="J162" s="39" t="str">
        <f t="shared" si="5"/>
        <v>Опарське ВУПЗГ.ПСГ Опарське.ВОГ ПСГ.Годинні.P</v>
      </c>
      <c r="K162" s="23" t="s">
        <v>424</v>
      </c>
      <c r="L162" s="19" t="s">
        <v>399</v>
      </c>
      <c r="M162" s="19" t="s">
        <v>7</v>
      </c>
      <c r="N162" s="19" t="s">
        <v>31</v>
      </c>
      <c r="O162" s="19"/>
      <c r="P162" s="19" t="s">
        <v>8</v>
      </c>
      <c r="Q162" s="19" t="s">
        <v>51</v>
      </c>
      <c r="R162" s="19" t="s">
        <v>395</v>
      </c>
      <c r="S162" s="23"/>
      <c r="T162" s="19" t="s">
        <v>50</v>
      </c>
      <c r="U162" s="19" t="s">
        <v>17</v>
      </c>
    </row>
    <row r="163" spans="1:21" x14ac:dyDescent="0.25">
      <c r="A163" s="82" t="s">
        <v>54</v>
      </c>
      <c r="B163" s="80" t="s">
        <v>55</v>
      </c>
      <c r="C163" s="80" t="s">
        <v>89</v>
      </c>
      <c r="D163" s="80" t="s">
        <v>397</v>
      </c>
      <c r="E163" s="44"/>
      <c r="F163" s="44"/>
      <c r="G163" s="1" t="s">
        <v>333</v>
      </c>
      <c r="I163" s="16">
        <v>160</v>
      </c>
      <c r="J163" s="39" t="str">
        <f t="shared" si="5"/>
        <v>Опарське ВУПЗГ.ПСГ Опарське.ВОГ ПСГ.Миттєві.P</v>
      </c>
      <c r="K163" s="23" t="s">
        <v>424</v>
      </c>
      <c r="L163" s="19" t="s">
        <v>399</v>
      </c>
      <c r="M163" s="19" t="s">
        <v>7</v>
      </c>
      <c r="N163" s="19" t="s">
        <v>31</v>
      </c>
      <c r="O163" s="19"/>
      <c r="P163" s="19" t="s">
        <v>8</v>
      </c>
      <c r="Q163" s="19" t="s">
        <v>51</v>
      </c>
      <c r="R163" s="19"/>
      <c r="S163" s="23"/>
      <c r="T163" s="19" t="s">
        <v>50</v>
      </c>
      <c r="U163" s="19" t="s">
        <v>17</v>
      </c>
    </row>
    <row r="164" spans="1:21" x14ac:dyDescent="0.25">
      <c r="A164" s="82" t="s">
        <v>54</v>
      </c>
      <c r="B164" s="80" t="s">
        <v>55</v>
      </c>
      <c r="C164" s="80" t="s">
        <v>89</v>
      </c>
      <c r="D164" s="80" t="s">
        <v>396</v>
      </c>
      <c r="E164" s="44"/>
      <c r="F164" s="44"/>
      <c r="G164" s="1" t="s">
        <v>170</v>
      </c>
      <c r="I164" s="16">
        <v>161</v>
      </c>
      <c r="J164" s="39" t="str">
        <f t="shared" si="5"/>
        <v>Опарське ВУПЗГ.ПСГ Опарське.ВОГ ПСГ.Годинні.E</v>
      </c>
      <c r="K164" s="23" t="s">
        <v>424</v>
      </c>
      <c r="L164" s="23" t="s">
        <v>70</v>
      </c>
      <c r="M164" s="19" t="s">
        <v>7</v>
      </c>
      <c r="N164" s="19" t="s">
        <v>31</v>
      </c>
      <c r="O164" s="19"/>
      <c r="P164" s="19" t="s">
        <v>8</v>
      </c>
      <c r="Q164" s="19" t="s">
        <v>51</v>
      </c>
      <c r="R164" s="19" t="s">
        <v>395</v>
      </c>
      <c r="S164" s="23"/>
      <c r="T164" s="19" t="s">
        <v>50</v>
      </c>
      <c r="U164" s="19" t="s">
        <v>17</v>
      </c>
    </row>
    <row r="165" spans="1:21" ht="17.25" x14ac:dyDescent="0.25">
      <c r="A165" s="82" t="s">
        <v>54</v>
      </c>
      <c r="B165" s="80" t="s">
        <v>55</v>
      </c>
      <c r="C165" s="80" t="s">
        <v>89</v>
      </c>
      <c r="D165" s="80" t="s">
        <v>396</v>
      </c>
      <c r="E165" s="44"/>
      <c r="F165" s="44"/>
      <c r="G165" s="1" t="s">
        <v>169</v>
      </c>
      <c r="I165" s="16">
        <v>162</v>
      </c>
      <c r="J165" s="39" t="str">
        <f t="shared" si="5"/>
        <v>Опарське ВУПЗГ.ПСГ Опарське.ВОГ ПСГ.Годинні.GCV</v>
      </c>
      <c r="K165" s="23" t="s">
        <v>424</v>
      </c>
      <c r="L165" s="54" t="s">
        <v>400</v>
      </c>
      <c r="M165" s="19" t="s">
        <v>7</v>
      </c>
      <c r="N165" s="19" t="s">
        <v>31</v>
      </c>
      <c r="O165" s="19"/>
      <c r="P165" s="19" t="s">
        <v>8</v>
      </c>
      <c r="Q165" s="19" t="s">
        <v>51</v>
      </c>
      <c r="R165" s="19" t="s">
        <v>395</v>
      </c>
      <c r="S165" s="23"/>
      <c r="T165" s="19" t="s">
        <v>50</v>
      </c>
      <c r="U165" s="19" t="s">
        <v>17</v>
      </c>
    </row>
    <row r="166" spans="1:21" x14ac:dyDescent="0.25">
      <c r="A166" s="82" t="s">
        <v>54</v>
      </c>
      <c r="B166" s="80" t="s">
        <v>55</v>
      </c>
      <c r="C166" s="80" t="s">
        <v>404</v>
      </c>
      <c r="D166" s="80" t="s">
        <v>396</v>
      </c>
      <c r="E166" s="44"/>
      <c r="F166" s="44"/>
      <c r="G166" s="1" t="s">
        <v>168</v>
      </c>
      <c r="I166" s="16">
        <v>163</v>
      </c>
      <c r="J166" s="39" t="str">
        <f t="shared" ref="J166:J173" si="6">CONCATENATE(IF(ISBLANK(A166),"",A166&amp;CHAR(46)), IF(ISBLANK(B166),"",B166&amp;CHAR(46)), IF(ISBLANK(C166),"",C166&amp;CHAR(46)),IF(ISBLANK(D166),"",D166&amp;CHAR(46)), IF(ISBLANK(E166),"",E166&amp;CHAR(46)),IF(ISBLANK(F166),"",F166&amp;CHAR(46)),IF(ISBLANK(G166),"",G166) )</f>
        <v>Опарське ВУПЗГ.ПСГ Опарське.ВОГ ВТВ.Годинні.Q</v>
      </c>
      <c r="K166" s="23" t="s">
        <v>401</v>
      </c>
      <c r="L166" s="19" t="s">
        <v>158</v>
      </c>
      <c r="M166" s="19" t="s">
        <v>7</v>
      </c>
      <c r="N166" s="19" t="s">
        <v>31</v>
      </c>
      <c r="O166" s="19"/>
      <c r="P166" s="19" t="s">
        <v>8</v>
      </c>
      <c r="Q166" s="19" t="s">
        <v>51</v>
      </c>
      <c r="R166" s="19" t="s">
        <v>395</v>
      </c>
      <c r="S166" s="23"/>
      <c r="T166" s="19" t="s">
        <v>50</v>
      </c>
      <c r="U166" s="20" t="s">
        <v>17</v>
      </c>
    </row>
    <row r="167" spans="1:21" x14ac:dyDescent="0.25">
      <c r="A167" s="82" t="s">
        <v>54</v>
      </c>
      <c r="B167" s="80" t="s">
        <v>55</v>
      </c>
      <c r="C167" s="80" t="s">
        <v>404</v>
      </c>
      <c r="D167" s="80" t="s">
        <v>396</v>
      </c>
      <c r="E167" s="44"/>
      <c r="F167" s="44"/>
      <c r="G167" s="1" t="s">
        <v>168</v>
      </c>
      <c r="I167" s="16">
        <v>164</v>
      </c>
      <c r="J167" s="39" t="str">
        <f t="shared" si="6"/>
        <v>Опарське ВУПЗГ.ПСГ Опарське.ВОГ ВТВ.Годинні.Q</v>
      </c>
      <c r="K167" s="23" t="s">
        <v>116</v>
      </c>
      <c r="L167" s="19" t="s">
        <v>158</v>
      </c>
      <c r="M167" s="19" t="s">
        <v>7</v>
      </c>
      <c r="N167" s="19" t="s">
        <v>31</v>
      </c>
      <c r="O167" s="19"/>
      <c r="P167" s="19" t="s">
        <v>8</v>
      </c>
      <c r="Q167" s="19" t="s">
        <v>51</v>
      </c>
      <c r="R167" s="19" t="s">
        <v>395</v>
      </c>
      <c r="S167" s="23"/>
      <c r="T167" s="19" t="s">
        <v>50</v>
      </c>
      <c r="U167" s="20" t="s">
        <v>17</v>
      </c>
    </row>
    <row r="168" spans="1:21" x14ac:dyDescent="0.25">
      <c r="A168" s="82" t="s">
        <v>54</v>
      </c>
      <c r="B168" s="80" t="s">
        <v>55</v>
      </c>
      <c r="C168" s="80" t="s">
        <v>404</v>
      </c>
      <c r="D168" s="80" t="s">
        <v>396</v>
      </c>
      <c r="E168" s="44"/>
      <c r="F168" s="44"/>
      <c r="G168" s="1" t="s">
        <v>168</v>
      </c>
      <c r="I168" s="16">
        <v>165</v>
      </c>
      <c r="J168" s="39" t="str">
        <f t="shared" si="6"/>
        <v>Опарське ВУПЗГ.ПСГ Опарське.ВОГ ВТВ.Годинні.Q</v>
      </c>
      <c r="K168" s="23" t="s">
        <v>402</v>
      </c>
      <c r="L168" s="19" t="s">
        <v>158</v>
      </c>
      <c r="M168" s="19" t="s">
        <v>7</v>
      </c>
      <c r="N168" s="19" t="s">
        <v>31</v>
      </c>
      <c r="O168" s="19"/>
      <c r="P168" s="19" t="s">
        <v>8</v>
      </c>
      <c r="Q168" s="19" t="s">
        <v>51</v>
      </c>
      <c r="R168" s="19" t="s">
        <v>395</v>
      </c>
      <c r="S168" s="23"/>
      <c r="T168" s="19" t="s">
        <v>50</v>
      </c>
      <c r="U168" s="20" t="s">
        <v>17</v>
      </c>
    </row>
    <row r="169" spans="1:21" x14ac:dyDescent="0.25">
      <c r="A169" s="82" t="s">
        <v>54</v>
      </c>
      <c r="B169" s="80" t="s">
        <v>55</v>
      </c>
      <c r="C169" s="80" t="s">
        <v>404</v>
      </c>
      <c r="D169" s="80" t="s">
        <v>396</v>
      </c>
      <c r="E169" s="44"/>
      <c r="F169" s="44"/>
      <c r="G169" s="1" t="s">
        <v>168</v>
      </c>
      <c r="I169" s="16">
        <v>166</v>
      </c>
      <c r="J169" s="39" t="str">
        <f t="shared" si="6"/>
        <v>Опарське ВУПЗГ.ПСГ Опарське.ВОГ ВТВ.Годинні.Q</v>
      </c>
      <c r="K169" s="23" t="s">
        <v>403</v>
      </c>
      <c r="L169" s="19" t="s">
        <v>158</v>
      </c>
      <c r="M169" s="19" t="s">
        <v>7</v>
      </c>
      <c r="N169" s="19" t="s">
        <v>31</v>
      </c>
      <c r="O169" s="19"/>
      <c r="P169" s="19" t="s">
        <v>8</v>
      </c>
      <c r="Q169" s="19" t="s">
        <v>51</v>
      </c>
      <c r="R169" s="19" t="s">
        <v>395</v>
      </c>
      <c r="S169" s="23"/>
      <c r="T169" s="19" t="s">
        <v>50</v>
      </c>
      <c r="U169" s="20" t="s">
        <v>17</v>
      </c>
    </row>
    <row r="170" spans="1:21" x14ac:dyDescent="0.25">
      <c r="A170" s="82" t="s">
        <v>54</v>
      </c>
      <c r="B170" s="80" t="s">
        <v>55</v>
      </c>
      <c r="C170" s="80" t="s">
        <v>404</v>
      </c>
      <c r="D170" s="80" t="s">
        <v>396</v>
      </c>
      <c r="E170" s="44"/>
      <c r="F170" s="44"/>
      <c r="G170" s="1" t="s">
        <v>168</v>
      </c>
      <c r="I170" s="16">
        <v>167</v>
      </c>
      <c r="J170" s="39" t="str">
        <f t="shared" si="6"/>
        <v>Опарське ВУПЗГ.ПСГ Опарське.ВОГ ВТВ.Годинні.Q</v>
      </c>
      <c r="K170" s="23" t="s">
        <v>81</v>
      </c>
      <c r="L170" s="19" t="s">
        <v>158</v>
      </c>
      <c r="M170" s="19" t="s">
        <v>7</v>
      </c>
      <c r="N170" s="19" t="s">
        <v>31</v>
      </c>
      <c r="O170" s="19"/>
      <c r="P170" s="19" t="s">
        <v>8</v>
      </c>
      <c r="Q170" s="19" t="s">
        <v>51</v>
      </c>
      <c r="R170" s="19" t="s">
        <v>395</v>
      </c>
      <c r="S170" s="23"/>
      <c r="T170" s="19" t="s">
        <v>50</v>
      </c>
      <c r="U170" s="20" t="s">
        <v>17</v>
      </c>
    </row>
    <row r="171" spans="1:21" ht="17.25" x14ac:dyDescent="0.25">
      <c r="A171" s="82" t="s">
        <v>54</v>
      </c>
      <c r="B171" s="80" t="s">
        <v>55</v>
      </c>
      <c r="C171" s="80" t="s">
        <v>89</v>
      </c>
      <c r="D171" s="80" t="s">
        <v>71</v>
      </c>
      <c r="E171" s="1" t="s">
        <v>214</v>
      </c>
      <c r="F171" s="80"/>
      <c r="G171" s="1" t="s">
        <v>169</v>
      </c>
      <c r="I171" s="16">
        <v>168</v>
      </c>
      <c r="J171" s="39" t="str">
        <f t="shared" si="6"/>
        <v>Опарське ВУПЗГ.ПСГ Опарське.ВОГ ПСГ.ПВВГ.закачка.GCV</v>
      </c>
      <c r="K171" s="19" t="s">
        <v>66</v>
      </c>
      <c r="L171" s="54" t="s">
        <v>400</v>
      </c>
      <c r="M171" s="19" t="s">
        <v>7</v>
      </c>
      <c r="N171" s="19" t="s">
        <v>31</v>
      </c>
      <c r="O171" s="19"/>
      <c r="P171" s="19" t="s">
        <v>13</v>
      </c>
      <c r="Q171" s="19" t="s">
        <v>51</v>
      </c>
      <c r="R171" s="19" t="s">
        <v>142</v>
      </c>
      <c r="S171" s="20"/>
      <c r="T171" s="19" t="s">
        <v>50</v>
      </c>
      <c r="U171" s="20" t="s">
        <v>17</v>
      </c>
    </row>
    <row r="172" spans="1:21" ht="17.25" x14ac:dyDescent="0.25">
      <c r="A172" s="81" t="s">
        <v>54</v>
      </c>
      <c r="B172" s="1" t="s">
        <v>55</v>
      </c>
      <c r="C172" s="1" t="s">
        <v>89</v>
      </c>
      <c r="D172" s="1" t="s">
        <v>71</v>
      </c>
      <c r="E172" s="80" t="s">
        <v>215</v>
      </c>
      <c r="F172" s="1"/>
      <c r="G172" s="1" t="s">
        <v>169</v>
      </c>
      <c r="I172" s="16">
        <v>169</v>
      </c>
      <c r="J172" s="39" t="str">
        <f t="shared" si="6"/>
        <v>Опарське ВУПЗГ.ПСГ Опарське.ВОГ ПСГ.ПВВГ.відбір.GCV</v>
      </c>
      <c r="K172" s="19" t="s">
        <v>67</v>
      </c>
      <c r="L172" s="54" t="s">
        <v>400</v>
      </c>
      <c r="M172" s="19" t="s">
        <v>7</v>
      </c>
      <c r="N172" s="19" t="s">
        <v>31</v>
      </c>
      <c r="O172" s="19"/>
      <c r="P172" s="19" t="s">
        <v>13</v>
      </c>
      <c r="Q172" s="19" t="s">
        <v>51</v>
      </c>
      <c r="R172" s="19" t="s">
        <v>142</v>
      </c>
      <c r="S172" s="20"/>
      <c r="T172" s="19" t="s">
        <v>50</v>
      </c>
      <c r="U172" s="20" t="s">
        <v>17</v>
      </c>
    </row>
    <row r="173" spans="1:21" ht="17.25" x14ac:dyDescent="0.25">
      <c r="A173" s="82" t="s">
        <v>54</v>
      </c>
      <c r="B173" s="80" t="s">
        <v>55</v>
      </c>
      <c r="C173" s="80" t="s">
        <v>89</v>
      </c>
      <c r="D173" s="80" t="s">
        <v>71</v>
      </c>
      <c r="E173" s="80"/>
      <c r="F173" s="80"/>
      <c r="G173" s="1" t="s">
        <v>169</v>
      </c>
      <c r="I173" s="16">
        <v>170</v>
      </c>
      <c r="J173" s="39" t="str">
        <f t="shared" si="6"/>
        <v>Опарське ВУПЗГ.ПСГ Опарське.ВОГ ПСГ.ПВВГ.GCV</v>
      </c>
      <c r="K173" s="19" t="s">
        <v>68</v>
      </c>
      <c r="L173" s="54" t="s">
        <v>400</v>
      </c>
      <c r="M173" s="19" t="s">
        <v>7</v>
      </c>
      <c r="N173" s="19" t="s">
        <v>31</v>
      </c>
      <c r="O173" s="19"/>
      <c r="P173" s="19" t="s">
        <v>13</v>
      </c>
      <c r="Q173" s="19" t="s">
        <v>51</v>
      </c>
      <c r="R173" s="19" t="s">
        <v>142</v>
      </c>
      <c r="S173" s="20"/>
      <c r="T173" s="19" t="s">
        <v>50</v>
      </c>
      <c r="U173" s="20" t="s">
        <v>17</v>
      </c>
    </row>
    <row r="174" spans="1:21" x14ac:dyDescent="0.25">
      <c r="A174" s="82" t="s">
        <v>54</v>
      </c>
      <c r="B174" s="80" t="s">
        <v>446</v>
      </c>
      <c r="C174" s="44"/>
      <c r="D174" s="44"/>
      <c r="E174" s="44"/>
      <c r="F174" s="44"/>
      <c r="G174" s="1" t="s">
        <v>168</v>
      </c>
      <c r="I174" s="16">
        <v>171</v>
      </c>
      <c r="J174" s="83" t="str">
        <f t="shared" ref="J174:J184" si="7">CONCATENATE(IF(ISBLANK(A174),"",A174&amp;CHAR(46)), IF(ISBLANK(B174),"",B174&amp;CHAR(46)), IF(ISBLANK(C174),"",C174&amp;CHAR(46)),IF(ISBLANK(D174),"",D174&amp;CHAR(46)), IF(ISBLANK(E174),"",E174&amp;CHAR(46)),IF(ISBLANK(F174),"",F174&amp;CHAR(46)),IF(ISBLANK(G174),"",G174) )</f>
        <v>Опарське ВУПЗГ.Зведення.Q</v>
      </c>
      <c r="K174" s="22" t="s">
        <v>426</v>
      </c>
      <c r="L174" s="27" t="s">
        <v>158</v>
      </c>
      <c r="M174" s="27" t="s">
        <v>7</v>
      </c>
      <c r="N174" s="27" t="s">
        <v>31</v>
      </c>
      <c r="O174" s="27"/>
      <c r="P174" s="27" t="s">
        <v>13</v>
      </c>
      <c r="Q174" s="27" t="s">
        <v>51</v>
      </c>
      <c r="R174" s="27" t="s">
        <v>142</v>
      </c>
      <c r="S174" s="28">
        <v>94</v>
      </c>
      <c r="T174" s="27" t="s">
        <v>50</v>
      </c>
      <c r="U174" s="28" t="s">
        <v>17</v>
      </c>
    </row>
    <row r="175" spans="1:21" x14ac:dyDescent="0.25">
      <c r="A175" s="82" t="s">
        <v>54</v>
      </c>
      <c r="B175" s="80" t="s">
        <v>446</v>
      </c>
      <c r="C175" s="44"/>
      <c r="D175" s="44"/>
      <c r="E175" s="44"/>
      <c r="F175" s="44"/>
      <c r="G175" s="1" t="s">
        <v>168</v>
      </c>
      <c r="I175" s="16">
        <v>172</v>
      </c>
      <c r="J175" s="83" t="str">
        <f t="shared" si="7"/>
        <v>Опарське ВУПЗГ.Зведення.Q</v>
      </c>
      <c r="K175" s="22" t="s">
        <v>425</v>
      </c>
      <c r="L175" s="27" t="s">
        <v>158</v>
      </c>
      <c r="M175" s="27" t="s">
        <v>7</v>
      </c>
      <c r="N175" s="27" t="s">
        <v>31</v>
      </c>
      <c r="O175" s="27"/>
      <c r="P175" s="27" t="s">
        <v>13</v>
      </c>
      <c r="Q175" s="27" t="s">
        <v>51</v>
      </c>
      <c r="R175" s="27" t="s">
        <v>142</v>
      </c>
      <c r="S175" s="28">
        <v>95</v>
      </c>
      <c r="T175" s="27" t="s">
        <v>50</v>
      </c>
      <c r="U175" s="28" t="s">
        <v>17</v>
      </c>
    </row>
    <row r="176" spans="1:21" x14ac:dyDescent="0.25">
      <c r="A176" s="82" t="s">
        <v>54</v>
      </c>
      <c r="B176" s="80" t="s">
        <v>446</v>
      </c>
      <c r="C176" s="44"/>
      <c r="D176" s="44"/>
      <c r="E176" s="44"/>
      <c r="F176" s="44"/>
      <c r="G176" s="1" t="s">
        <v>168</v>
      </c>
      <c r="I176" s="16">
        <v>173</v>
      </c>
      <c r="J176" s="83" t="str">
        <f t="shared" si="7"/>
        <v>Опарське ВУПЗГ.Зведення.Q</v>
      </c>
      <c r="K176" s="22" t="s">
        <v>438</v>
      </c>
      <c r="L176" s="27" t="s">
        <v>158</v>
      </c>
      <c r="M176" s="27" t="s">
        <v>7</v>
      </c>
      <c r="N176" s="27" t="s">
        <v>31</v>
      </c>
      <c r="O176" s="27"/>
      <c r="P176" s="27" t="s">
        <v>13</v>
      </c>
      <c r="Q176" s="27" t="s">
        <v>51</v>
      </c>
      <c r="R176" s="27" t="s">
        <v>142</v>
      </c>
      <c r="S176" s="28">
        <v>96</v>
      </c>
      <c r="T176" s="27" t="s">
        <v>50</v>
      </c>
      <c r="U176" s="28" t="s">
        <v>17</v>
      </c>
    </row>
    <row r="177" spans="1:21" x14ac:dyDescent="0.25">
      <c r="A177" s="82" t="s">
        <v>54</v>
      </c>
      <c r="B177" s="80" t="s">
        <v>446</v>
      </c>
      <c r="C177" s="44"/>
      <c r="D177" s="44"/>
      <c r="E177" s="44"/>
      <c r="F177" s="44"/>
      <c r="G177" s="1" t="s">
        <v>168</v>
      </c>
      <c r="I177" s="16">
        <v>174</v>
      </c>
      <c r="J177" s="83" t="str">
        <f t="shared" si="7"/>
        <v>Опарське ВУПЗГ.Зведення.Q</v>
      </c>
      <c r="K177" s="22" t="s">
        <v>427</v>
      </c>
      <c r="L177" s="27" t="s">
        <v>158</v>
      </c>
      <c r="M177" s="27" t="s">
        <v>7</v>
      </c>
      <c r="N177" s="27" t="s">
        <v>31</v>
      </c>
      <c r="O177" s="27"/>
      <c r="P177" s="27" t="s">
        <v>13</v>
      </c>
      <c r="Q177" s="27" t="s">
        <v>51</v>
      </c>
      <c r="R177" s="27" t="s">
        <v>142</v>
      </c>
      <c r="S177" s="28">
        <v>97</v>
      </c>
      <c r="T177" s="27" t="s">
        <v>50</v>
      </c>
      <c r="U177" s="28" t="s">
        <v>17</v>
      </c>
    </row>
    <row r="178" spans="1:21" x14ac:dyDescent="0.25">
      <c r="A178" s="82" t="s">
        <v>54</v>
      </c>
      <c r="B178" s="80" t="s">
        <v>446</v>
      </c>
      <c r="C178" s="44"/>
      <c r="D178" s="44"/>
      <c r="E178" s="44"/>
      <c r="F178" s="44"/>
      <c r="G178" s="1" t="s">
        <v>168</v>
      </c>
      <c r="I178" s="16">
        <v>175</v>
      </c>
      <c r="J178" s="83" t="str">
        <f t="shared" si="7"/>
        <v>Опарське ВУПЗГ.Зведення.Q</v>
      </c>
      <c r="K178" s="22" t="s">
        <v>428</v>
      </c>
      <c r="L178" s="27" t="s">
        <v>158</v>
      </c>
      <c r="M178" s="27" t="s">
        <v>7</v>
      </c>
      <c r="N178" s="27" t="s">
        <v>31</v>
      </c>
      <c r="O178" s="27"/>
      <c r="P178" s="27" t="s">
        <v>13</v>
      </c>
      <c r="Q178" s="27" t="s">
        <v>51</v>
      </c>
      <c r="R178" s="27" t="s">
        <v>142</v>
      </c>
      <c r="S178" s="28">
        <v>98</v>
      </c>
      <c r="T178" s="27" t="s">
        <v>50</v>
      </c>
      <c r="U178" s="28" t="s">
        <v>17</v>
      </c>
    </row>
    <row r="179" spans="1:21" x14ac:dyDescent="0.25">
      <c r="A179" s="82" t="s">
        <v>54</v>
      </c>
      <c r="B179" s="80" t="s">
        <v>446</v>
      </c>
      <c r="C179" s="44"/>
      <c r="D179" s="44"/>
      <c r="E179" s="44"/>
      <c r="F179" s="44"/>
      <c r="G179" s="1" t="s">
        <v>168</v>
      </c>
      <c r="I179" s="16">
        <v>176</v>
      </c>
      <c r="J179" s="83" t="str">
        <f t="shared" si="7"/>
        <v>Опарське ВУПЗГ.Зведення.Q</v>
      </c>
      <c r="K179" s="22" t="s">
        <v>429</v>
      </c>
      <c r="L179" s="27" t="s">
        <v>158</v>
      </c>
      <c r="M179" s="27" t="s">
        <v>7</v>
      </c>
      <c r="N179" s="27" t="s">
        <v>31</v>
      </c>
      <c r="O179" s="27"/>
      <c r="P179" s="27" t="s">
        <v>13</v>
      </c>
      <c r="Q179" s="27" t="s">
        <v>51</v>
      </c>
      <c r="R179" s="27" t="s">
        <v>142</v>
      </c>
      <c r="S179" s="28">
        <v>99</v>
      </c>
      <c r="T179" s="27" t="s">
        <v>50</v>
      </c>
      <c r="U179" s="28" t="s">
        <v>17</v>
      </c>
    </row>
    <row r="180" spans="1:21" x14ac:dyDescent="0.25">
      <c r="A180" s="82" t="s">
        <v>54</v>
      </c>
      <c r="B180" s="80" t="s">
        <v>446</v>
      </c>
      <c r="C180" s="44"/>
      <c r="D180" s="44"/>
      <c r="E180" s="44"/>
      <c r="F180" s="44"/>
      <c r="G180" s="1" t="s">
        <v>168</v>
      </c>
      <c r="I180" s="16">
        <v>178</v>
      </c>
      <c r="J180" s="83" t="str">
        <f t="shared" si="7"/>
        <v>Опарське ВУПЗГ.Зведення.Q</v>
      </c>
      <c r="K180" s="22" t="s">
        <v>430</v>
      </c>
      <c r="L180" s="27" t="s">
        <v>158</v>
      </c>
      <c r="M180" s="27" t="s">
        <v>7</v>
      </c>
      <c r="N180" s="27" t="s">
        <v>31</v>
      </c>
      <c r="O180" s="27"/>
      <c r="P180" s="27" t="s">
        <v>13</v>
      </c>
      <c r="Q180" s="27" t="s">
        <v>51</v>
      </c>
      <c r="R180" s="27" t="s">
        <v>142</v>
      </c>
      <c r="S180" s="28">
        <v>101</v>
      </c>
      <c r="T180" s="27" t="s">
        <v>50</v>
      </c>
      <c r="U180" s="28" t="s">
        <v>17</v>
      </c>
    </row>
    <row r="181" spans="1:21" x14ac:dyDescent="0.25">
      <c r="A181" s="82" t="s">
        <v>54</v>
      </c>
      <c r="B181" s="80" t="s">
        <v>446</v>
      </c>
      <c r="C181" s="44"/>
      <c r="D181" s="44"/>
      <c r="E181" s="44"/>
      <c r="F181" s="44"/>
      <c r="G181" s="1" t="s">
        <v>168</v>
      </c>
      <c r="I181" s="16">
        <v>179</v>
      </c>
      <c r="J181" s="83" t="str">
        <f t="shared" si="7"/>
        <v>Опарське ВУПЗГ.Зведення.Q</v>
      </c>
      <c r="K181" s="22" t="s">
        <v>431</v>
      </c>
      <c r="L181" s="27" t="s">
        <v>158</v>
      </c>
      <c r="M181" s="27" t="s">
        <v>7</v>
      </c>
      <c r="N181" s="27" t="s">
        <v>31</v>
      </c>
      <c r="O181" s="27"/>
      <c r="P181" s="27" t="s">
        <v>13</v>
      </c>
      <c r="Q181" s="27" t="s">
        <v>51</v>
      </c>
      <c r="R181" s="27" t="s">
        <v>142</v>
      </c>
      <c r="S181" s="28">
        <v>102</v>
      </c>
      <c r="T181" s="27" t="s">
        <v>50</v>
      </c>
      <c r="U181" s="28" t="s">
        <v>17</v>
      </c>
    </row>
    <row r="182" spans="1:21" x14ac:dyDescent="0.25">
      <c r="A182" s="82" t="s">
        <v>54</v>
      </c>
      <c r="B182" s="80" t="s">
        <v>446</v>
      </c>
      <c r="C182" s="44"/>
      <c r="D182" s="44"/>
      <c r="E182" s="44"/>
      <c r="F182" s="44"/>
      <c r="G182" s="1" t="s">
        <v>168</v>
      </c>
      <c r="I182" s="16">
        <v>180</v>
      </c>
      <c r="J182" s="83" t="str">
        <f t="shared" si="7"/>
        <v>Опарське ВУПЗГ.Зведення.Q</v>
      </c>
      <c r="K182" s="22" t="s">
        <v>432</v>
      </c>
      <c r="L182" s="27" t="s">
        <v>158</v>
      </c>
      <c r="M182" s="27" t="s">
        <v>7</v>
      </c>
      <c r="N182" s="27" t="s">
        <v>31</v>
      </c>
      <c r="O182" s="27"/>
      <c r="P182" s="27" t="s">
        <v>13</v>
      </c>
      <c r="Q182" s="27" t="s">
        <v>51</v>
      </c>
      <c r="R182" s="27" t="s">
        <v>142</v>
      </c>
      <c r="S182" s="28">
        <v>103</v>
      </c>
      <c r="T182" s="27" t="s">
        <v>50</v>
      </c>
      <c r="U182" s="28" t="s">
        <v>17</v>
      </c>
    </row>
    <row r="183" spans="1:21" x14ac:dyDescent="0.25">
      <c r="A183" s="82" t="s">
        <v>54</v>
      </c>
      <c r="B183" s="80" t="s">
        <v>446</v>
      </c>
      <c r="C183" s="44"/>
      <c r="D183" s="44"/>
      <c r="E183" s="44"/>
      <c r="F183" s="44"/>
      <c r="G183" s="1" t="s">
        <v>168</v>
      </c>
      <c r="I183" s="16">
        <v>181</v>
      </c>
      <c r="J183" s="83" t="str">
        <f t="shared" si="7"/>
        <v>Опарське ВУПЗГ.Зведення.Q</v>
      </c>
      <c r="K183" s="22" t="s">
        <v>434</v>
      </c>
      <c r="L183" s="27" t="s">
        <v>158</v>
      </c>
      <c r="M183" s="27" t="s">
        <v>7</v>
      </c>
      <c r="N183" s="27" t="s">
        <v>31</v>
      </c>
      <c r="O183" s="27"/>
      <c r="P183" s="27" t="s">
        <v>13</v>
      </c>
      <c r="Q183" s="27" t="s">
        <v>51</v>
      </c>
      <c r="R183" s="27" t="s">
        <v>142</v>
      </c>
      <c r="S183" s="28">
        <v>104</v>
      </c>
      <c r="T183" s="27" t="s">
        <v>50</v>
      </c>
      <c r="U183" s="28" t="s">
        <v>17</v>
      </c>
    </row>
    <row r="184" spans="1:21" x14ac:dyDescent="0.25">
      <c r="A184" s="82" t="s">
        <v>54</v>
      </c>
      <c r="B184" s="80" t="s">
        <v>446</v>
      </c>
      <c r="C184" s="44"/>
      <c r="D184" s="44"/>
      <c r="E184" s="44"/>
      <c r="F184" s="44"/>
      <c r="G184" s="1" t="s">
        <v>168</v>
      </c>
      <c r="I184" s="16">
        <v>182</v>
      </c>
      <c r="J184" s="83" t="str">
        <f t="shared" si="7"/>
        <v>Опарське ВУПЗГ.Зведення.Q</v>
      </c>
      <c r="K184" s="22" t="s">
        <v>435</v>
      </c>
      <c r="L184" s="27" t="s">
        <v>158</v>
      </c>
      <c r="M184" s="27" t="s">
        <v>7</v>
      </c>
      <c r="N184" s="27" t="s">
        <v>31</v>
      </c>
      <c r="O184" s="27"/>
      <c r="P184" s="27" t="s">
        <v>13</v>
      </c>
      <c r="Q184" s="27" t="s">
        <v>51</v>
      </c>
      <c r="R184" s="27" t="s">
        <v>142</v>
      </c>
      <c r="S184" s="28">
        <v>105</v>
      </c>
      <c r="T184" s="27" t="s">
        <v>50</v>
      </c>
      <c r="U184" s="28" t="s">
        <v>17</v>
      </c>
    </row>
    <row r="185" spans="1:21" x14ac:dyDescent="0.25">
      <c r="A185" s="82" t="s">
        <v>54</v>
      </c>
      <c r="B185" s="80" t="s">
        <v>446</v>
      </c>
      <c r="C185" s="44"/>
      <c r="D185" s="44"/>
      <c r="E185" s="44"/>
      <c r="F185" s="44"/>
      <c r="G185" s="1" t="s">
        <v>170</v>
      </c>
      <c r="I185" s="16">
        <v>183</v>
      </c>
      <c r="J185" s="83" t="str">
        <f t="shared" ref="J185:J195" si="8">CONCATENATE(IF(ISBLANK(A185),"",A185&amp;CHAR(46)), IF(ISBLANK(B185),"",B185&amp;CHAR(46)), IF(ISBLANK(C185),"",C185&amp;CHAR(46)),IF(ISBLANK(D185),"",D185&amp;CHAR(46)), IF(ISBLANK(E185),"",E185&amp;CHAR(46)),IF(ISBLANK(F185),"",F185&amp;CHAR(46)),IF(ISBLANK(G185),"",G185) )</f>
        <v>Опарське ВУПЗГ.Зведення.E</v>
      </c>
      <c r="K185" s="22" t="s">
        <v>426</v>
      </c>
      <c r="L185" s="20" t="s">
        <v>158</v>
      </c>
      <c r="M185" s="20" t="s">
        <v>7</v>
      </c>
      <c r="N185" s="20" t="s">
        <v>31</v>
      </c>
      <c r="O185" s="20"/>
      <c r="P185" s="20" t="s">
        <v>13</v>
      </c>
      <c r="Q185" s="20" t="s">
        <v>51</v>
      </c>
      <c r="R185" s="20" t="s">
        <v>142</v>
      </c>
      <c r="S185" s="20">
        <v>106</v>
      </c>
      <c r="T185" s="20" t="s">
        <v>50</v>
      </c>
      <c r="U185" s="20" t="s">
        <v>17</v>
      </c>
    </row>
    <row r="186" spans="1:21" x14ac:dyDescent="0.25">
      <c r="A186" s="82" t="s">
        <v>54</v>
      </c>
      <c r="B186" s="80" t="s">
        <v>446</v>
      </c>
      <c r="C186" s="44"/>
      <c r="D186" s="44"/>
      <c r="E186" s="44"/>
      <c r="F186" s="44"/>
      <c r="G186" s="1" t="s">
        <v>170</v>
      </c>
      <c r="I186" s="16">
        <v>184</v>
      </c>
      <c r="J186" s="83" t="str">
        <f t="shared" si="8"/>
        <v>Опарське ВУПЗГ.Зведення.E</v>
      </c>
      <c r="K186" s="22" t="s">
        <v>425</v>
      </c>
      <c r="L186" s="20" t="s">
        <v>158</v>
      </c>
      <c r="M186" s="20" t="s">
        <v>7</v>
      </c>
      <c r="N186" s="20" t="s">
        <v>31</v>
      </c>
      <c r="O186" s="20"/>
      <c r="P186" s="20" t="s">
        <v>13</v>
      </c>
      <c r="Q186" s="20" t="s">
        <v>51</v>
      </c>
      <c r="R186" s="20" t="s">
        <v>142</v>
      </c>
      <c r="S186" s="20">
        <v>107</v>
      </c>
      <c r="T186" s="20" t="s">
        <v>50</v>
      </c>
      <c r="U186" s="20" t="s">
        <v>17</v>
      </c>
    </row>
    <row r="187" spans="1:21" x14ac:dyDescent="0.25">
      <c r="A187" s="82" t="s">
        <v>54</v>
      </c>
      <c r="B187" s="80" t="s">
        <v>446</v>
      </c>
      <c r="C187" s="44"/>
      <c r="D187" s="44"/>
      <c r="E187" s="44"/>
      <c r="F187" s="44"/>
      <c r="G187" s="1" t="s">
        <v>170</v>
      </c>
      <c r="I187" s="16">
        <v>185</v>
      </c>
      <c r="J187" s="83" t="str">
        <f t="shared" si="8"/>
        <v>Опарське ВУПЗГ.Зведення.E</v>
      </c>
      <c r="K187" s="22" t="s">
        <v>438</v>
      </c>
      <c r="L187" s="20" t="s">
        <v>158</v>
      </c>
      <c r="M187" s="20" t="s">
        <v>7</v>
      </c>
      <c r="N187" s="20" t="s">
        <v>31</v>
      </c>
      <c r="O187" s="20"/>
      <c r="P187" s="20" t="s">
        <v>13</v>
      </c>
      <c r="Q187" s="20" t="s">
        <v>51</v>
      </c>
      <c r="R187" s="20" t="s">
        <v>142</v>
      </c>
      <c r="S187" s="20">
        <v>108</v>
      </c>
      <c r="T187" s="20" t="s">
        <v>50</v>
      </c>
      <c r="U187" s="20" t="s">
        <v>17</v>
      </c>
    </row>
    <row r="188" spans="1:21" x14ac:dyDescent="0.25">
      <c r="A188" s="82" t="s">
        <v>54</v>
      </c>
      <c r="B188" s="80" t="s">
        <v>446</v>
      </c>
      <c r="C188" s="44"/>
      <c r="D188" s="44"/>
      <c r="E188" s="44"/>
      <c r="F188" s="44"/>
      <c r="G188" s="1" t="s">
        <v>170</v>
      </c>
      <c r="I188" s="16">
        <v>186</v>
      </c>
      <c r="J188" s="83" t="str">
        <f t="shared" si="8"/>
        <v>Опарське ВУПЗГ.Зведення.E</v>
      </c>
      <c r="K188" s="22" t="s">
        <v>427</v>
      </c>
      <c r="L188" s="20" t="s">
        <v>158</v>
      </c>
      <c r="M188" s="20" t="s">
        <v>7</v>
      </c>
      <c r="N188" s="20" t="s">
        <v>31</v>
      </c>
      <c r="O188" s="20"/>
      <c r="P188" s="20" t="s">
        <v>13</v>
      </c>
      <c r="Q188" s="20" t="s">
        <v>51</v>
      </c>
      <c r="R188" s="20" t="s">
        <v>142</v>
      </c>
      <c r="S188" s="20">
        <v>109</v>
      </c>
      <c r="T188" s="20" t="s">
        <v>50</v>
      </c>
      <c r="U188" s="20" t="s">
        <v>17</v>
      </c>
    </row>
    <row r="189" spans="1:21" x14ac:dyDescent="0.25">
      <c r="A189" s="82" t="s">
        <v>54</v>
      </c>
      <c r="B189" s="80" t="s">
        <v>446</v>
      </c>
      <c r="C189" s="44"/>
      <c r="D189" s="44"/>
      <c r="E189" s="44"/>
      <c r="F189" s="44"/>
      <c r="G189" s="1" t="s">
        <v>170</v>
      </c>
      <c r="I189" s="16">
        <v>187</v>
      </c>
      <c r="J189" s="83" t="str">
        <f t="shared" si="8"/>
        <v>Опарське ВУПЗГ.Зведення.E</v>
      </c>
      <c r="K189" s="22" t="s">
        <v>428</v>
      </c>
      <c r="L189" s="20" t="s">
        <v>158</v>
      </c>
      <c r="M189" s="20" t="s">
        <v>7</v>
      </c>
      <c r="N189" s="20" t="s">
        <v>31</v>
      </c>
      <c r="O189" s="20"/>
      <c r="P189" s="20" t="s">
        <v>13</v>
      </c>
      <c r="Q189" s="20" t="s">
        <v>51</v>
      </c>
      <c r="R189" s="20" t="s">
        <v>142</v>
      </c>
      <c r="S189" s="20">
        <v>110</v>
      </c>
      <c r="T189" s="20" t="s">
        <v>50</v>
      </c>
      <c r="U189" s="20" t="s">
        <v>17</v>
      </c>
    </row>
    <row r="190" spans="1:21" x14ac:dyDescent="0.25">
      <c r="A190" s="82" t="s">
        <v>54</v>
      </c>
      <c r="B190" s="80" t="s">
        <v>446</v>
      </c>
      <c r="C190" s="44"/>
      <c r="D190" s="44"/>
      <c r="E190" s="44"/>
      <c r="F190" s="44"/>
      <c r="G190" s="1" t="s">
        <v>170</v>
      </c>
      <c r="I190" s="16">
        <v>188</v>
      </c>
      <c r="J190" s="83" t="str">
        <f t="shared" si="8"/>
        <v>Опарське ВУПЗГ.Зведення.E</v>
      </c>
      <c r="K190" s="22" t="s">
        <v>429</v>
      </c>
      <c r="L190" s="20" t="s">
        <v>158</v>
      </c>
      <c r="M190" s="20" t="s">
        <v>7</v>
      </c>
      <c r="N190" s="20" t="s">
        <v>31</v>
      </c>
      <c r="O190" s="20"/>
      <c r="P190" s="20" t="s">
        <v>13</v>
      </c>
      <c r="Q190" s="20" t="s">
        <v>51</v>
      </c>
      <c r="R190" s="20" t="s">
        <v>142</v>
      </c>
      <c r="S190" s="20">
        <v>111</v>
      </c>
      <c r="T190" s="20" t="s">
        <v>50</v>
      </c>
      <c r="U190" s="20" t="s">
        <v>17</v>
      </c>
    </row>
    <row r="191" spans="1:21" x14ac:dyDescent="0.25">
      <c r="A191" s="82" t="s">
        <v>54</v>
      </c>
      <c r="B191" s="80" t="s">
        <v>446</v>
      </c>
      <c r="C191" s="44"/>
      <c r="D191" s="44"/>
      <c r="E191" s="44"/>
      <c r="F191" s="44"/>
      <c r="G191" s="1" t="s">
        <v>170</v>
      </c>
      <c r="I191" s="16">
        <v>190</v>
      </c>
      <c r="J191" s="83" t="str">
        <f t="shared" si="8"/>
        <v>Опарське ВУПЗГ.Зведення.E</v>
      </c>
      <c r="K191" s="22" t="s">
        <v>430</v>
      </c>
      <c r="L191" s="20" t="s">
        <v>158</v>
      </c>
      <c r="M191" s="20" t="s">
        <v>7</v>
      </c>
      <c r="N191" s="20" t="s">
        <v>31</v>
      </c>
      <c r="O191" s="20"/>
      <c r="P191" s="20" t="s">
        <v>13</v>
      </c>
      <c r="Q191" s="20" t="s">
        <v>51</v>
      </c>
      <c r="R191" s="20" t="s">
        <v>142</v>
      </c>
      <c r="S191" s="20">
        <v>113</v>
      </c>
      <c r="T191" s="20" t="s">
        <v>50</v>
      </c>
      <c r="U191" s="20" t="s">
        <v>17</v>
      </c>
    </row>
    <row r="192" spans="1:21" x14ac:dyDescent="0.25">
      <c r="A192" s="82" t="s">
        <v>54</v>
      </c>
      <c r="B192" s="80" t="s">
        <v>446</v>
      </c>
      <c r="C192" s="44"/>
      <c r="D192" s="44"/>
      <c r="E192" s="44"/>
      <c r="F192" s="44"/>
      <c r="G192" s="1" t="s">
        <v>170</v>
      </c>
      <c r="I192" s="16">
        <v>191</v>
      </c>
      <c r="J192" s="83" t="str">
        <f t="shared" si="8"/>
        <v>Опарське ВУПЗГ.Зведення.E</v>
      </c>
      <c r="K192" s="22" t="s">
        <v>431</v>
      </c>
      <c r="L192" s="20" t="s">
        <v>158</v>
      </c>
      <c r="M192" s="20" t="s">
        <v>7</v>
      </c>
      <c r="N192" s="20" t="s">
        <v>31</v>
      </c>
      <c r="O192" s="20"/>
      <c r="P192" s="20" t="s">
        <v>13</v>
      </c>
      <c r="Q192" s="20" t="s">
        <v>51</v>
      </c>
      <c r="R192" s="20" t="s">
        <v>142</v>
      </c>
      <c r="S192" s="20">
        <v>114</v>
      </c>
      <c r="T192" s="20" t="s">
        <v>50</v>
      </c>
      <c r="U192" s="20" t="s">
        <v>17</v>
      </c>
    </row>
    <row r="193" spans="1:21" x14ac:dyDescent="0.25">
      <c r="A193" s="82" t="s">
        <v>54</v>
      </c>
      <c r="B193" s="80" t="s">
        <v>446</v>
      </c>
      <c r="C193" s="44"/>
      <c r="D193" s="44"/>
      <c r="E193" s="44"/>
      <c r="F193" s="44"/>
      <c r="G193" s="1" t="s">
        <v>170</v>
      </c>
      <c r="I193" s="16">
        <v>192</v>
      </c>
      <c r="J193" s="83" t="str">
        <f t="shared" si="8"/>
        <v>Опарське ВУПЗГ.Зведення.E</v>
      </c>
      <c r="K193" s="22" t="s">
        <v>432</v>
      </c>
      <c r="L193" s="20" t="s">
        <v>158</v>
      </c>
      <c r="M193" s="20" t="s">
        <v>7</v>
      </c>
      <c r="N193" s="20" t="s">
        <v>31</v>
      </c>
      <c r="O193" s="20"/>
      <c r="P193" s="20" t="s">
        <v>13</v>
      </c>
      <c r="Q193" s="20" t="s">
        <v>51</v>
      </c>
      <c r="R193" s="20" t="s">
        <v>142</v>
      </c>
      <c r="S193" s="20">
        <v>115</v>
      </c>
      <c r="T193" s="20" t="s">
        <v>50</v>
      </c>
      <c r="U193" s="20" t="s">
        <v>17</v>
      </c>
    </row>
    <row r="194" spans="1:21" x14ac:dyDescent="0.25">
      <c r="A194" s="82" t="s">
        <v>54</v>
      </c>
      <c r="B194" s="80" t="s">
        <v>446</v>
      </c>
      <c r="C194" s="44"/>
      <c r="D194" s="44"/>
      <c r="E194" s="44"/>
      <c r="F194" s="44"/>
      <c r="G194" s="1" t="s">
        <v>170</v>
      </c>
      <c r="I194" s="16">
        <v>193</v>
      </c>
      <c r="J194" s="83" t="str">
        <f t="shared" si="8"/>
        <v>Опарське ВУПЗГ.Зведення.E</v>
      </c>
      <c r="K194" s="22" t="s">
        <v>434</v>
      </c>
      <c r="L194" s="20" t="s">
        <v>158</v>
      </c>
      <c r="M194" s="20" t="s">
        <v>7</v>
      </c>
      <c r="N194" s="20" t="s">
        <v>31</v>
      </c>
      <c r="O194" s="20"/>
      <c r="P194" s="20" t="s">
        <v>13</v>
      </c>
      <c r="Q194" s="20" t="s">
        <v>51</v>
      </c>
      <c r="R194" s="20" t="s">
        <v>142</v>
      </c>
      <c r="S194" s="20">
        <v>116</v>
      </c>
      <c r="T194" s="20" t="s">
        <v>50</v>
      </c>
      <c r="U194" s="20" t="s">
        <v>17</v>
      </c>
    </row>
    <row r="195" spans="1:21" x14ac:dyDescent="0.25">
      <c r="A195" s="82" t="s">
        <v>54</v>
      </c>
      <c r="B195" s="80" t="s">
        <v>446</v>
      </c>
      <c r="C195" s="44"/>
      <c r="D195" s="44"/>
      <c r="E195" s="44"/>
      <c r="F195" s="44"/>
      <c r="G195" s="1" t="s">
        <v>170</v>
      </c>
      <c r="I195" s="16">
        <v>194</v>
      </c>
      <c r="J195" s="83" t="str">
        <f t="shared" si="8"/>
        <v>Опарське ВУПЗГ.Зведення.E</v>
      </c>
      <c r="K195" s="22" t="s">
        <v>435</v>
      </c>
      <c r="L195" s="20" t="s">
        <v>158</v>
      </c>
      <c r="M195" s="20" t="s">
        <v>7</v>
      </c>
      <c r="N195" s="20" t="s">
        <v>31</v>
      </c>
      <c r="O195" s="20"/>
      <c r="P195" s="20" t="s">
        <v>13</v>
      </c>
      <c r="Q195" s="20" t="s">
        <v>51</v>
      </c>
      <c r="R195" s="20" t="s">
        <v>142</v>
      </c>
      <c r="S195" s="20">
        <v>117</v>
      </c>
      <c r="T195" s="20" t="s">
        <v>50</v>
      </c>
      <c r="U195" s="20" t="s">
        <v>17</v>
      </c>
    </row>
    <row r="196" spans="1:21" x14ac:dyDescent="0.25">
      <c r="A196" s="82" t="s">
        <v>54</v>
      </c>
      <c r="B196" s="1" t="s">
        <v>464</v>
      </c>
      <c r="C196" s="94" t="s">
        <v>466</v>
      </c>
      <c r="D196" s="44" t="s">
        <v>468</v>
      </c>
      <c r="E196" s="44"/>
      <c r="F196" s="44"/>
      <c r="G196" s="90" t="s">
        <v>333</v>
      </c>
      <c r="I196" s="16">
        <v>195</v>
      </c>
      <c r="J196" s="39" t="str">
        <f t="shared" ref="J196:J230" si="9">CONCATENATE(IF(ISBLANK(A196),"",A196&amp;CHAR(46)), IF(ISBLANK(B196),"",B196&amp;CHAR(46)), IF(ISBLANK(C196),"",C196&amp;CHAR(46)),IF(ISBLANK(D196),"",D196&amp;CHAR(46)), IF(ISBLANK(E196),"",E196&amp;CHAR(46)),IF(ISBLANK(F196),"",F196&amp;CHAR(46)),IF(ISBLANK(G196),"",G196) )</f>
        <v>Опарське ВУПЗГ.ДКС Опари КЦ 1-2.Рвх.ДКС.P</v>
      </c>
      <c r="K196" s="94" t="s">
        <v>466</v>
      </c>
      <c r="L196" s="19" t="s">
        <v>399</v>
      </c>
      <c r="M196" s="20" t="s">
        <v>7</v>
      </c>
      <c r="N196" s="20" t="s">
        <v>31</v>
      </c>
      <c r="O196" s="23"/>
      <c r="P196" s="20" t="s">
        <v>13</v>
      </c>
      <c r="Q196" s="20" t="s">
        <v>51</v>
      </c>
      <c r="R196" s="19" t="s">
        <v>395</v>
      </c>
      <c r="S196" s="23"/>
      <c r="T196" s="20" t="s">
        <v>50</v>
      </c>
      <c r="U196" s="20" t="s">
        <v>17</v>
      </c>
    </row>
    <row r="197" spans="1:21" x14ac:dyDescent="0.25">
      <c r="A197" s="82" t="s">
        <v>54</v>
      </c>
      <c r="B197" s="1" t="s">
        <v>464</v>
      </c>
      <c r="C197" s="94" t="s">
        <v>467</v>
      </c>
      <c r="D197" s="44" t="s">
        <v>468</v>
      </c>
      <c r="E197" s="44"/>
      <c r="F197" s="44"/>
      <c r="G197" s="90" t="s">
        <v>333</v>
      </c>
      <c r="I197" s="16">
        <v>196</v>
      </c>
      <c r="J197" s="39" t="str">
        <f t="shared" si="9"/>
        <v>Опарське ВУПЗГ.ДКС Опари КЦ 1-2.Рвих.ДКС.P</v>
      </c>
      <c r="K197" s="94" t="s">
        <v>467</v>
      </c>
      <c r="L197" s="19" t="s">
        <v>399</v>
      </c>
      <c r="M197" s="20" t="s">
        <v>7</v>
      </c>
      <c r="N197" s="20" t="s">
        <v>31</v>
      </c>
      <c r="O197" s="23"/>
      <c r="P197" s="20" t="s">
        <v>13</v>
      </c>
      <c r="Q197" s="20" t="s">
        <v>51</v>
      </c>
      <c r="R197" s="19" t="s">
        <v>395</v>
      </c>
      <c r="S197" s="23"/>
      <c r="T197" s="20" t="s">
        <v>50</v>
      </c>
      <c r="U197" s="20" t="s">
        <v>17</v>
      </c>
    </row>
    <row r="198" spans="1:21" x14ac:dyDescent="0.25">
      <c r="A198" s="82" t="s">
        <v>54</v>
      </c>
      <c r="B198" s="1" t="s">
        <v>464</v>
      </c>
      <c r="C198" s="95" t="s">
        <v>485</v>
      </c>
      <c r="D198" s="44" t="s">
        <v>468</v>
      </c>
      <c r="E198" s="44"/>
      <c r="F198" s="44"/>
      <c r="G198" s="90" t="s">
        <v>170</v>
      </c>
      <c r="I198" s="16">
        <v>197</v>
      </c>
      <c r="J198" s="39" t="str">
        <f t="shared" si="9"/>
        <v>Опарське ВУПЗГ.ДКС Опари КЦ 1-2.Е.ДКС.E</v>
      </c>
      <c r="K198" s="95" t="s">
        <v>485</v>
      </c>
      <c r="L198" s="23"/>
      <c r="M198" s="20" t="s">
        <v>7</v>
      </c>
      <c r="N198" s="20" t="s">
        <v>31</v>
      </c>
      <c r="O198" s="23"/>
      <c r="P198" s="20" t="s">
        <v>13</v>
      </c>
      <c r="Q198" s="20" t="s">
        <v>51</v>
      </c>
      <c r="R198" s="19" t="s">
        <v>395</v>
      </c>
      <c r="S198" s="23" t="s">
        <v>553</v>
      </c>
      <c r="T198" s="20" t="s">
        <v>50</v>
      </c>
      <c r="U198" s="20" t="s">
        <v>17</v>
      </c>
    </row>
    <row r="199" spans="1:21" x14ac:dyDescent="0.25">
      <c r="A199" s="82" t="s">
        <v>54</v>
      </c>
      <c r="B199" s="1" t="s">
        <v>464</v>
      </c>
      <c r="C199" s="92" t="s">
        <v>469</v>
      </c>
      <c r="D199" s="44" t="s">
        <v>468</v>
      </c>
      <c r="E199" s="44"/>
      <c r="F199" s="44"/>
      <c r="G199" s="90" t="s">
        <v>165</v>
      </c>
      <c r="I199" s="16">
        <v>198</v>
      </c>
      <c r="J199" s="39" t="str">
        <f t="shared" si="9"/>
        <v>Опарське ВУПЗГ.ДКС Опари КЦ 1-2.Твх.ДКС.T</v>
      </c>
      <c r="K199" s="92" t="s">
        <v>469</v>
      </c>
      <c r="L199" s="24" t="s">
        <v>157</v>
      </c>
      <c r="M199" s="20" t="s">
        <v>7</v>
      </c>
      <c r="N199" s="20" t="s">
        <v>31</v>
      </c>
      <c r="O199" s="23"/>
      <c r="P199" s="20" t="s">
        <v>13</v>
      </c>
      <c r="Q199" s="20" t="s">
        <v>51</v>
      </c>
      <c r="R199" s="19" t="s">
        <v>395</v>
      </c>
      <c r="S199" s="23"/>
      <c r="T199" s="20" t="s">
        <v>50</v>
      </c>
      <c r="U199" s="20" t="s">
        <v>17</v>
      </c>
    </row>
    <row r="200" spans="1:21" x14ac:dyDescent="0.25">
      <c r="A200" s="82" t="s">
        <v>54</v>
      </c>
      <c r="B200" s="1" t="s">
        <v>464</v>
      </c>
      <c r="C200" s="92" t="s">
        <v>470</v>
      </c>
      <c r="D200" s="44" t="s">
        <v>468</v>
      </c>
      <c r="E200" s="44"/>
      <c r="F200" s="44"/>
      <c r="G200" s="90" t="s">
        <v>165</v>
      </c>
      <c r="I200" s="16">
        <v>199</v>
      </c>
      <c r="J200" s="39" t="str">
        <f t="shared" si="9"/>
        <v>Опарське ВУПЗГ.ДКС Опари КЦ 1-2.Твих.ДКС.T</v>
      </c>
      <c r="K200" s="92" t="s">
        <v>470</v>
      </c>
      <c r="L200" s="24" t="s">
        <v>157</v>
      </c>
      <c r="M200" s="20" t="s">
        <v>7</v>
      </c>
      <c r="N200" s="20" t="s">
        <v>31</v>
      </c>
      <c r="O200" s="23"/>
      <c r="P200" s="20" t="s">
        <v>13</v>
      </c>
      <c r="Q200" s="20" t="s">
        <v>51</v>
      </c>
      <c r="R200" s="19" t="s">
        <v>395</v>
      </c>
      <c r="S200" s="23"/>
      <c r="T200" s="20" t="s">
        <v>50</v>
      </c>
      <c r="U200" s="20" t="s">
        <v>17</v>
      </c>
    </row>
    <row r="201" spans="1:21" x14ac:dyDescent="0.25">
      <c r="A201" s="82" t="s">
        <v>54</v>
      </c>
      <c r="B201" s="1" t="s">
        <v>464</v>
      </c>
      <c r="C201" s="92" t="s">
        <v>471</v>
      </c>
      <c r="D201" s="44" t="s">
        <v>468</v>
      </c>
      <c r="E201" s="44"/>
      <c r="F201" s="44"/>
      <c r="G201" s="90" t="s">
        <v>165</v>
      </c>
      <c r="I201" s="16">
        <v>200</v>
      </c>
      <c r="J201" s="39" t="str">
        <f t="shared" si="9"/>
        <v>Опарське ВУПЗГ.ДКС Опари КЦ 1-2.Тапо.ДКС.T</v>
      </c>
      <c r="K201" s="92" t="s">
        <v>471</v>
      </c>
      <c r="L201" s="24" t="s">
        <v>157</v>
      </c>
      <c r="M201" s="20" t="s">
        <v>7</v>
      </c>
      <c r="N201" s="20" t="s">
        <v>31</v>
      </c>
      <c r="O201" s="23"/>
      <c r="P201" s="20" t="s">
        <v>13</v>
      </c>
      <c r="Q201" s="20" t="s">
        <v>51</v>
      </c>
      <c r="R201" s="19" t="s">
        <v>395</v>
      </c>
      <c r="S201" s="23"/>
      <c r="T201" s="20" t="s">
        <v>50</v>
      </c>
      <c r="U201" s="20" t="s">
        <v>17</v>
      </c>
    </row>
    <row r="202" spans="1:21" x14ac:dyDescent="0.25">
      <c r="A202" s="82" t="s">
        <v>54</v>
      </c>
      <c r="B202" s="1" t="s">
        <v>464</v>
      </c>
      <c r="C202" s="96" t="s">
        <v>507</v>
      </c>
      <c r="D202" s="44" t="s">
        <v>468</v>
      </c>
      <c r="E202" s="44"/>
      <c r="F202" s="44"/>
      <c r="G202" s="90" t="s">
        <v>168</v>
      </c>
      <c r="I202" s="16">
        <v>201</v>
      </c>
      <c r="J202" s="39" t="str">
        <f t="shared" si="9"/>
        <v>Опарське ВУПЗГ.ДКС Опари КЦ 1-2.Перекачка.ДКС.Q</v>
      </c>
      <c r="K202" s="93" t="s">
        <v>510</v>
      </c>
      <c r="L202" s="20" t="s">
        <v>158</v>
      </c>
      <c r="M202" s="20" t="s">
        <v>7</v>
      </c>
      <c r="N202" s="20" t="s">
        <v>31</v>
      </c>
      <c r="O202" s="23"/>
      <c r="P202" s="20" t="s">
        <v>13</v>
      </c>
      <c r="Q202" s="20" t="s">
        <v>51</v>
      </c>
      <c r="R202" s="19" t="s">
        <v>395</v>
      </c>
      <c r="S202" s="23"/>
      <c r="T202" s="20" t="s">
        <v>50</v>
      </c>
      <c r="U202" s="20" t="s">
        <v>17</v>
      </c>
    </row>
    <row r="203" spans="1:21" x14ac:dyDescent="0.25">
      <c r="A203" s="82" t="s">
        <v>54</v>
      </c>
      <c r="B203" s="1" t="s">
        <v>464</v>
      </c>
      <c r="C203" s="92" t="s">
        <v>473</v>
      </c>
      <c r="D203" s="44" t="s">
        <v>468</v>
      </c>
      <c r="E203" s="44"/>
      <c r="F203" s="44"/>
      <c r="G203" s="90" t="s">
        <v>514</v>
      </c>
      <c r="I203" s="16">
        <v>202</v>
      </c>
      <c r="J203" s="39" t="str">
        <f t="shared" si="9"/>
        <v>Опарське ВУПЗГ.ДКС Опари КЦ 1-2.робота.ДКС.num</v>
      </c>
      <c r="K203" s="92" t="s">
        <v>473</v>
      </c>
      <c r="L203" s="90" t="s">
        <v>512</v>
      </c>
      <c r="M203" s="20" t="s">
        <v>7</v>
      </c>
      <c r="N203" s="20" t="s">
        <v>31</v>
      </c>
      <c r="O203" s="23"/>
      <c r="P203" s="23" t="s">
        <v>8</v>
      </c>
      <c r="Q203" s="23" t="s">
        <v>7</v>
      </c>
      <c r="R203" s="19" t="s">
        <v>395</v>
      </c>
      <c r="S203" s="82">
        <v>166</v>
      </c>
      <c r="T203" s="20" t="s">
        <v>50</v>
      </c>
      <c r="U203" s="20" t="s">
        <v>17</v>
      </c>
    </row>
    <row r="204" spans="1:21" x14ac:dyDescent="0.25">
      <c r="A204" s="82" t="s">
        <v>54</v>
      </c>
      <c r="B204" s="1" t="s">
        <v>464</v>
      </c>
      <c r="C204" s="92" t="s">
        <v>474</v>
      </c>
      <c r="D204" s="44" t="s">
        <v>468</v>
      </c>
      <c r="E204" s="44"/>
      <c r="F204" s="44"/>
      <c r="G204" s="90" t="s">
        <v>514</v>
      </c>
      <c r="I204" s="16">
        <v>203</v>
      </c>
      <c r="J204" s="39" t="str">
        <f t="shared" si="9"/>
        <v>Опарське ВУПЗГ.ДКС Опари КЦ 1-2.резерв.ДКС.num</v>
      </c>
      <c r="K204" s="92" t="s">
        <v>474</v>
      </c>
      <c r="L204" s="90" t="s">
        <v>512</v>
      </c>
      <c r="M204" s="20" t="s">
        <v>7</v>
      </c>
      <c r="N204" s="20" t="s">
        <v>31</v>
      </c>
      <c r="O204" s="23"/>
      <c r="P204" s="23" t="s">
        <v>8</v>
      </c>
      <c r="Q204" s="23" t="s">
        <v>7</v>
      </c>
      <c r="R204" s="19" t="s">
        <v>395</v>
      </c>
      <c r="S204" s="82">
        <v>167</v>
      </c>
      <c r="T204" s="20" t="s">
        <v>50</v>
      </c>
      <c r="U204" s="20" t="s">
        <v>17</v>
      </c>
    </row>
    <row r="205" spans="1:21" x14ac:dyDescent="0.25">
      <c r="A205" s="82" t="s">
        <v>54</v>
      </c>
      <c r="B205" s="1" t="s">
        <v>464</v>
      </c>
      <c r="C205" s="92" t="s">
        <v>475</v>
      </c>
      <c r="D205" s="44" t="s">
        <v>468</v>
      </c>
      <c r="E205" s="44"/>
      <c r="F205" s="44"/>
      <c r="G205" s="90" t="s">
        <v>514</v>
      </c>
      <c r="I205" s="16">
        <v>204</v>
      </c>
      <c r="J205" s="39" t="str">
        <f t="shared" si="9"/>
        <v>Опарське ВУПЗГ.ДКС Опари КЦ 1-2.ремонт.ДКС.num</v>
      </c>
      <c r="K205" s="92" t="s">
        <v>475</v>
      </c>
      <c r="L205" s="90" t="s">
        <v>512</v>
      </c>
      <c r="M205" s="20" t="s">
        <v>7</v>
      </c>
      <c r="N205" s="20" t="s">
        <v>31</v>
      </c>
      <c r="O205" s="23"/>
      <c r="P205" s="23" t="s">
        <v>8</v>
      </c>
      <c r="Q205" s="23" t="s">
        <v>7</v>
      </c>
      <c r="R205" s="19" t="s">
        <v>395</v>
      </c>
      <c r="S205" s="82">
        <v>168</v>
      </c>
      <c r="T205" s="20" t="s">
        <v>50</v>
      </c>
      <c r="U205" s="20" t="s">
        <v>17</v>
      </c>
    </row>
    <row r="206" spans="1:21" x14ac:dyDescent="0.25">
      <c r="A206" s="82" t="s">
        <v>54</v>
      </c>
      <c r="B206" s="1" t="s">
        <v>464</v>
      </c>
      <c r="C206" s="96" t="s">
        <v>488</v>
      </c>
      <c r="D206" s="44" t="s">
        <v>468</v>
      </c>
      <c r="E206" s="44"/>
      <c r="F206" s="44"/>
      <c r="G206" s="90" t="s">
        <v>165</v>
      </c>
      <c r="I206" s="16">
        <v>205</v>
      </c>
      <c r="J206" s="39" t="str">
        <f t="shared" ref="J206:J207" si="10">CONCATENATE(IF(ISBLANK(A206),"",A206&amp;CHAR(46)), IF(ISBLANK(B206),"",B206&amp;CHAR(46)), IF(ISBLANK(C206),"",C206&amp;CHAR(46)),IF(ISBLANK(D206),"",D206&amp;CHAR(46)), IF(ISBLANK(E206),"",E206&amp;CHAR(46)),IF(ISBLANK(F206),"",F206&amp;CHAR(46)),IF(ISBLANK(G206),"",G206) )</f>
        <v>Опарське ВУПЗГ.ДКС Опари КЦ 1-2.Тз.п.,.ДКС.T</v>
      </c>
      <c r="K206" s="93" t="s">
        <v>509</v>
      </c>
      <c r="L206" s="24" t="s">
        <v>157</v>
      </c>
      <c r="M206" s="20" t="s">
        <v>7</v>
      </c>
      <c r="N206" s="20" t="s">
        <v>31</v>
      </c>
      <c r="O206" s="23"/>
      <c r="P206" s="20" t="s">
        <v>13</v>
      </c>
      <c r="Q206" s="20" t="s">
        <v>51</v>
      </c>
      <c r="R206" s="19" t="s">
        <v>395</v>
      </c>
      <c r="S206" s="23"/>
      <c r="T206" s="20" t="s">
        <v>50</v>
      </c>
      <c r="U206" s="20" t="s">
        <v>17</v>
      </c>
    </row>
    <row r="207" spans="1:21" x14ac:dyDescent="0.25">
      <c r="A207" s="82" t="s">
        <v>54</v>
      </c>
      <c r="B207" s="1" t="s">
        <v>464</v>
      </c>
      <c r="C207" s="96" t="s">
        <v>465</v>
      </c>
      <c r="D207" s="44" t="s">
        <v>468</v>
      </c>
      <c r="E207" s="44"/>
      <c r="F207" s="44"/>
      <c r="G207" s="90" t="s">
        <v>333</v>
      </c>
      <c r="I207" s="16">
        <v>206</v>
      </c>
      <c r="J207" s="39" t="str">
        <f t="shared" si="10"/>
        <v>Опарське ВУПЗГ.ДКС Опари КЦ 1-2.Ратм.,мм рт.ст..ДКС.P</v>
      </c>
      <c r="K207" s="93" t="s">
        <v>465</v>
      </c>
      <c r="L207" s="23" t="s">
        <v>511</v>
      </c>
      <c r="M207" s="20" t="s">
        <v>7</v>
      </c>
      <c r="N207" s="20" t="s">
        <v>31</v>
      </c>
      <c r="O207" s="23"/>
      <c r="P207" s="20" t="s">
        <v>13</v>
      </c>
      <c r="Q207" s="20" t="s">
        <v>51</v>
      </c>
      <c r="R207" s="19" t="s">
        <v>395</v>
      </c>
      <c r="S207" s="23"/>
      <c r="T207" s="20" t="s">
        <v>50</v>
      </c>
      <c r="U207" s="20" t="s">
        <v>17</v>
      </c>
    </row>
    <row r="208" spans="1:21" x14ac:dyDescent="0.25">
      <c r="A208" s="82" t="s">
        <v>54</v>
      </c>
      <c r="B208" s="1" t="s">
        <v>477</v>
      </c>
      <c r="C208" s="94" t="s">
        <v>466</v>
      </c>
      <c r="D208" s="44" t="s">
        <v>468</v>
      </c>
      <c r="E208" s="44"/>
      <c r="F208" s="44"/>
      <c r="G208" s="90" t="s">
        <v>333</v>
      </c>
      <c r="I208" s="16">
        <v>207</v>
      </c>
      <c r="J208" s="39" t="str">
        <f t="shared" si="9"/>
        <v>Опарське ВУПЗГ.ДКС ОПАРИ, КЦ-3.Рвх.ДКС.P</v>
      </c>
      <c r="K208" s="94" t="s">
        <v>466</v>
      </c>
      <c r="L208" s="19" t="s">
        <v>399</v>
      </c>
      <c r="M208" s="20" t="s">
        <v>7</v>
      </c>
      <c r="N208" s="20" t="s">
        <v>31</v>
      </c>
      <c r="O208" s="23"/>
      <c r="P208" s="20" t="s">
        <v>13</v>
      </c>
      <c r="Q208" s="20" t="s">
        <v>51</v>
      </c>
      <c r="R208" s="19" t="s">
        <v>395</v>
      </c>
      <c r="S208" s="23"/>
      <c r="T208" s="20" t="s">
        <v>50</v>
      </c>
      <c r="U208" s="20" t="s">
        <v>17</v>
      </c>
    </row>
    <row r="209" spans="1:21" x14ac:dyDescent="0.25">
      <c r="A209" s="82" t="s">
        <v>54</v>
      </c>
      <c r="B209" s="1" t="s">
        <v>477</v>
      </c>
      <c r="C209" s="94" t="s">
        <v>467</v>
      </c>
      <c r="D209" s="44" t="s">
        <v>468</v>
      </c>
      <c r="E209" s="44"/>
      <c r="F209" s="44"/>
      <c r="G209" s="90" t="s">
        <v>333</v>
      </c>
      <c r="I209" s="16">
        <v>208</v>
      </c>
      <c r="J209" s="39" t="str">
        <f t="shared" si="9"/>
        <v>Опарське ВУПЗГ.ДКС ОПАРИ, КЦ-3.Рвих.ДКС.P</v>
      </c>
      <c r="K209" s="94" t="s">
        <v>467</v>
      </c>
      <c r="L209" s="19" t="s">
        <v>399</v>
      </c>
      <c r="M209" s="20" t="s">
        <v>7</v>
      </c>
      <c r="N209" s="20" t="s">
        <v>31</v>
      </c>
      <c r="O209" s="23"/>
      <c r="P209" s="20" t="s">
        <v>13</v>
      </c>
      <c r="Q209" s="20" t="s">
        <v>51</v>
      </c>
      <c r="R209" s="19" t="s">
        <v>395</v>
      </c>
      <c r="S209" s="23"/>
      <c r="T209" s="20" t="s">
        <v>50</v>
      </c>
      <c r="U209" s="20" t="s">
        <v>17</v>
      </c>
    </row>
    <row r="210" spans="1:21" x14ac:dyDescent="0.25">
      <c r="A210" s="82" t="s">
        <v>54</v>
      </c>
      <c r="B210" s="1" t="s">
        <v>477</v>
      </c>
      <c r="C210" s="95" t="s">
        <v>485</v>
      </c>
      <c r="D210" s="44" t="s">
        <v>468</v>
      </c>
      <c r="E210" s="44"/>
      <c r="F210" s="44"/>
      <c r="G210" s="90"/>
      <c r="I210" s="16">
        <v>209</v>
      </c>
      <c r="J210" s="39" t="str">
        <f t="shared" si="9"/>
        <v>Опарське ВУПЗГ.ДКС ОПАРИ, КЦ-3.Е.ДКС.</v>
      </c>
      <c r="K210" s="95" t="s">
        <v>485</v>
      </c>
      <c r="L210" s="23"/>
      <c r="M210" s="20" t="s">
        <v>7</v>
      </c>
      <c r="N210" s="20" t="s">
        <v>31</v>
      </c>
      <c r="O210" s="23"/>
      <c r="P210" s="20" t="s">
        <v>13</v>
      </c>
      <c r="Q210" s="20" t="s">
        <v>51</v>
      </c>
      <c r="R210" s="19" t="s">
        <v>395</v>
      </c>
      <c r="S210" s="23" t="s">
        <v>554</v>
      </c>
      <c r="T210" s="20" t="s">
        <v>50</v>
      </c>
      <c r="U210" s="20" t="s">
        <v>17</v>
      </c>
    </row>
    <row r="211" spans="1:21" x14ac:dyDescent="0.25">
      <c r="A211" s="82" t="s">
        <v>54</v>
      </c>
      <c r="B211" s="1" t="s">
        <v>477</v>
      </c>
      <c r="C211" s="92" t="s">
        <v>469</v>
      </c>
      <c r="D211" s="44" t="s">
        <v>468</v>
      </c>
      <c r="E211" s="44"/>
      <c r="F211" s="44"/>
      <c r="G211" s="90" t="s">
        <v>165</v>
      </c>
      <c r="I211" s="16">
        <v>210</v>
      </c>
      <c r="J211" s="39" t="str">
        <f t="shared" si="9"/>
        <v>Опарське ВУПЗГ.ДКС ОПАРИ, КЦ-3.Твх.ДКС.T</v>
      </c>
      <c r="K211" s="92" t="s">
        <v>469</v>
      </c>
      <c r="L211" s="24" t="s">
        <v>157</v>
      </c>
      <c r="M211" s="20" t="s">
        <v>7</v>
      </c>
      <c r="N211" s="20" t="s">
        <v>31</v>
      </c>
      <c r="O211" s="23"/>
      <c r="P211" s="20" t="s">
        <v>13</v>
      </c>
      <c r="Q211" s="20" t="s">
        <v>51</v>
      </c>
      <c r="R211" s="19" t="s">
        <v>395</v>
      </c>
      <c r="S211" s="23"/>
      <c r="T211" s="20" t="s">
        <v>50</v>
      </c>
      <c r="U211" s="20" t="s">
        <v>17</v>
      </c>
    </row>
    <row r="212" spans="1:21" x14ac:dyDescent="0.25">
      <c r="A212" s="82" t="s">
        <v>54</v>
      </c>
      <c r="B212" s="1" t="s">
        <v>477</v>
      </c>
      <c r="C212" s="92" t="s">
        <v>470</v>
      </c>
      <c r="D212" s="44" t="s">
        <v>468</v>
      </c>
      <c r="E212" s="44"/>
      <c r="F212" s="44"/>
      <c r="G212" s="90" t="s">
        <v>165</v>
      </c>
      <c r="I212" s="16">
        <v>211</v>
      </c>
      <c r="J212" s="39" t="str">
        <f t="shared" si="9"/>
        <v>Опарське ВУПЗГ.ДКС ОПАРИ, КЦ-3.Твих.ДКС.T</v>
      </c>
      <c r="K212" s="92" t="s">
        <v>470</v>
      </c>
      <c r="L212" s="24" t="s">
        <v>157</v>
      </c>
      <c r="M212" s="20" t="s">
        <v>7</v>
      </c>
      <c r="N212" s="20" t="s">
        <v>31</v>
      </c>
      <c r="O212" s="23"/>
      <c r="P212" s="20" t="s">
        <v>13</v>
      </c>
      <c r="Q212" s="20" t="s">
        <v>51</v>
      </c>
      <c r="R212" s="19" t="s">
        <v>395</v>
      </c>
      <c r="S212" s="23"/>
      <c r="T212" s="20" t="s">
        <v>50</v>
      </c>
      <c r="U212" s="20" t="s">
        <v>17</v>
      </c>
    </row>
    <row r="213" spans="1:21" x14ac:dyDescent="0.25">
      <c r="A213" s="82" t="s">
        <v>54</v>
      </c>
      <c r="B213" s="1" t="s">
        <v>477</v>
      </c>
      <c r="C213" s="92" t="s">
        <v>471</v>
      </c>
      <c r="D213" s="44" t="s">
        <v>468</v>
      </c>
      <c r="E213" s="44"/>
      <c r="F213" s="44"/>
      <c r="G213" s="90" t="s">
        <v>165</v>
      </c>
      <c r="I213" s="16">
        <v>212</v>
      </c>
      <c r="J213" s="39" t="str">
        <f t="shared" si="9"/>
        <v>Опарське ВУПЗГ.ДКС ОПАРИ, КЦ-3.Тапо.ДКС.T</v>
      </c>
      <c r="K213" s="92" t="s">
        <v>471</v>
      </c>
      <c r="L213" s="24" t="s">
        <v>157</v>
      </c>
      <c r="M213" s="20" t="s">
        <v>7</v>
      </c>
      <c r="N213" s="20" t="s">
        <v>31</v>
      </c>
      <c r="O213" s="23"/>
      <c r="P213" s="20" t="s">
        <v>13</v>
      </c>
      <c r="Q213" s="20" t="s">
        <v>51</v>
      </c>
      <c r="R213" s="19" t="s">
        <v>395</v>
      </c>
      <c r="S213" s="23"/>
      <c r="T213" s="20" t="s">
        <v>50</v>
      </c>
      <c r="U213" s="20" t="s">
        <v>17</v>
      </c>
    </row>
    <row r="214" spans="1:21" x14ac:dyDescent="0.25">
      <c r="A214" s="82" t="s">
        <v>54</v>
      </c>
      <c r="B214" s="1" t="s">
        <v>477</v>
      </c>
      <c r="C214" s="96" t="s">
        <v>507</v>
      </c>
      <c r="D214" s="44" t="s">
        <v>468</v>
      </c>
      <c r="E214" s="44"/>
      <c r="F214" s="44"/>
      <c r="G214" s="90" t="s">
        <v>168</v>
      </c>
      <c r="I214" s="16">
        <v>213</v>
      </c>
      <c r="J214" s="39" t="str">
        <f t="shared" si="9"/>
        <v>Опарське ВУПЗГ.ДКС ОПАРИ, КЦ-3.Перекачка.ДКС.Q</v>
      </c>
      <c r="K214" s="93" t="s">
        <v>510</v>
      </c>
      <c r="L214" s="20" t="s">
        <v>158</v>
      </c>
      <c r="M214" s="20" t="s">
        <v>7</v>
      </c>
      <c r="N214" s="20" t="s">
        <v>31</v>
      </c>
      <c r="O214" s="23"/>
      <c r="P214" s="20" t="s">
        <v>13</v>
      </c>
      <c r="Q214" s="20" t="s">
        <v>51</v>
      </c>
      <c r="R214" s="19" t="s">
        <v>395</v>
      </c>
      <c r="S214" s="23"/>
      <c r="T214" s="20" t="s">
        <v>50</v>
      </c>
      <c r="U214" s="20" t="s">
        <v>17</v>
      </c>
    </row>
    <row r="215" spans="1:21" x14ac:dyDescent="0.25">
      <c r="A215" s="82" t="s">
        <v>54</v>
      </c>
      <c r="B215" s="1" t="s">
        <v>477</v>
      </c>
      <c r="C215" s="96" t="s">
        <v>478</v>
      </c>
      <c r="D215" s="44" t="s">
        <v>468</v>
      </c>
      <c r="E215" s="44"/>
      <c r="F215" s="44"/>
      <c r="G215" s="90" t="s">
        <v>513</v>
      </c>
      <c r="I215" s="16">
        <v>214</v>
      </c>
      <c r="J215" s="39" t="str">
        <f t="shared" si="9"/>
        <v>Опарське ВУПЗГ.ДКС ОПАРИ, КЦ-3.Оберти.ДКС.n</v>
      </c>
      <c r="K215" s="93" t="s">
        <v>478</v>
      </c>
      <c r="L215" s="19" t="s">
        <v>487</v>
      </c>
      <c r="M215" s="20" t="s">
        <v>7</v>
      </c>
      <c r="N215" s="20" t="s">
        <v>31</v>
      </c>
      <c r="O215" s="23"/>
      <c r="P215" s="23" t="s">
        <v>8</v>
      </c>
      <c r="Q215" s="23" t="s">
        <v>7</v>
      </c>
      <c r="R215" s="19" t="s">
        <v>395</v>
      </c>
      <c r="S215" s="23" t="s">
        <v>591</v>
      </c>
      <c r="T215" s="20" t="s">
        <v>50</v>
      </c>
      <c r="U215" s="20" t="s">
        <v>17</v>
      </c>
    </row>
    <row r="216" spans="1:21" x14ac:dyDescent="0.25">
      <c r="A216" s="82" t="s">
        <v>54</v>
      </c>
      <c r="B216" s="1" t="s">
        <v>477</v>
      </c>
      <c r="C216" s="96" t="s">
        <v>479</v>
      </c>
      <c r="D216" s="44" t="s">
        <v>468</v>
      </c>
      <c r="E216" s="44"/>
      <c r="F216" s="44"/>
      <c r="G216" s="44"/>
      <c r="I216" s="16">
        <v>215</v>
      </c>
      <c r="J216" s="39" t="str">
        <f t="shared" si="9"/>
        <v>Опарське ВУПЗГ.ДКС ОПАРИ, КЦ-3.Схема вкл.ДКС.</v>
      </c>
      <c r="K216" s="93" t="s">
        <v>479</v>
      </c>
      <c r="L216" s="23"/>
      <c r="M216" s="20" t="s">
        <v>7</v>
      </c>
      <c r="N216" s="20" t="s">
        <v>31</v>
      </c>
      <c r="O216" s="23"/>
      <c r="P216" s="23"/>
      <c r="Q216" s="23"/>
      <c r="R216" s="19" t="s">
        <v>395</v>
      </c>
      <c r="S216" s="23"/>
      <c r="T216" s="20" t="s">
        <v>50</v>
      </c>
      <c r="U216" s="20" t="s">
        <v>17</v>
      </c>
    </row>
    <row r="217" spans="1:21" x14ac:dyDescent="0.25">
      <c r="A217" s="82" t="s">
        <v>54</v>
      </c>
      <c r="B217" s="1" t="s">
        <v>477</v>
      </c>
      <c r="C217" s="92" t="s">
        <v>473</v>
      </c>
      <c r="D217" s="44" t="s">
        <v>468</v>
      </c>
      <c r="E217" s="44"/>
      <c r="F217" s="44"/>
      <c r="G217" s="90" t="s">
        <v>514</v>
      </c>
      <c r="I217" s="16">
        <v>216</v>
      </c>
      <c r="J217" s="39" t="str">
        <f t="shared" si="9"/>
        <v>Опарське ВУПЗГ.ДКС ОПАРИ, КЦ-3.робота.ДКС.num</v>
      </c>
      <c r="K217" s="92" t="s">
        <v>473</v>
      </c>
      <c r="L217" s="90" t="s">
        <v>512</v>
      </c>
      <c r="M217" s="20" t="s">
        <v>7</v>
      </c>
      <c r="N217" s="20" t="s">
        <v>31</v>
      </c>
      <c r="O217" s="23"/>
      <c r="P217" s="23" t="s">
        <v>8</v>
      </c>
      <c r="Q217" s="23" t="s">
        <v>7</v>
      </c>
      <c r="R217" s="19" t="s">
        <v>395</v>
      </c>
      <c r="S217" s="23">
        <v>163</v>
      </c>
      <c r="T217" s="20" t="s">
        <v>50</v>
      </c>
      <c r="U217" s="20" t="s">
        <v>17</v>
      </c>
    </row>
    <row r="218" spans="1:21" x14ac:dyDescent="0.25">
      <c r="A218" s="82" t="s">
        <v>54</v>
      </c>
      <c r="B218" s="1" t="s">
        <v>477</v>
      </c>
      <c r="C218" s="92" t="s">
        <v>474</v>
      </c>
      <c r="D218" s="44" t="s">
        <v>468</v>
      </c>
      <c r="E218" s="44"/>
      <c r="F218" s="44"/>
      <c r="G218" s="90" t="s">
        <v>514</v>
      </c>
      <c r="I218" s="16">
        <v>217</v>
      </c>
      <c r="J218" s="39" t="str">
        <f t="shared" si="9"/>
        <v>Опарське ВУПЗГ.ДКС ОПАРИ, КЦ-3.резерв.ДКС.num</v>
      </c>
      <c r="K218" s="92" t="s">
        <v>474</v>
      </c>
      <c r="L218" s="90" t="s">
        <v>512</v>
      </c>
      <c r="M218" s="20" t="s">
        <v>7</v>
      </c>
      <c r="N218" s="20" t="s">
        <v>31</v>
      </c>
      <c r="O218" s="23"/>
      <c r="P218" s="23" t="s">
        <v>8</v>
      </c>
      <c r="Q218" s="23" t="s">
        <v>7</v>
      </c>
      <c r="R218" s="19" t="s">
        <v>395</v>
      </c>
      <c r="S218" s="23">
        <v>164</v>
      </c>
      <c r="T218" s="20" t="s">
        <v>50</v>
      </c>
      <c r="U218" s="20" t="s">
        <v>17</v>
      </c>
    </row>
    <row r="219" spans="1:21" x14ac:dyDescent="0.25">
      <c r="A219" s="82" t="s">
        <v>54</v>
      </c>
      <c r="B219" s="1" t="s">
        <v>477</v>
      </c>
      <c r="C219" s="92" t="s">
        <v>475</v>
      </c>
      <c r="D219" s="44" t="s">
        <v>468</v>
      </c>
      <c r="E219" s="44"/>
      <c r="F219" s="44"/>
      <c r="G219" s="90" t="s">
        <v>514</v>
      </c>
      <c r="I219" s="16">
        <v>218</v>
      </c>
      <c r="J219" s="39" t="str">
        <f t="shared" si="9"/>
        <v>Опарське ВУПЗГ.ДКС ОПАРИ, КЦ-3.ремонт.ДКС.num</v>
      </c>
      <c r="K219" s="92" t="s">
        <v>475</v>
      </c>
      <c r="L219" s="90" t="s">
        <v>512</v>
      </c>
      <c r="M219" s="20" t="s">
        <v>7</v>
      </c>
      <c r="N219" s="20" t="s">
        <v>31</v>
      </c>
      <c r="O219" s="23"/>
      <c r="P219" s="23" t="s">
        <v>8</v>
      </c>
      <c r="Q219" s="23" t="s">
        <v>7</v>
      </c>
      <c r="R219" s="19" t="s">
        <v>395</v>
      </c>
      <c r="S219" s="23">
        <v>165</v>
      </c>
      <c r="T219" s="20" t="s">
        <v>50</v>
      </c>
      <c r="U219" s="20" t="s">
        <v>17</v>
      </c>
    </row>
    <row r="220" spans="1:21" x14ac:dyDescent="0.25">
      <c r="A220" s="82" t="s">
        <v>54</v>
      </c>
      <c r="B220" s="1" t="s">
        <v>477</v>
      </c>
      <c r="C220" s="96" t="s">
        <v>488</v>
      </c>
      <c r="D220" s="44" t="s">
        <v>468</v>
      </c>
      <c r="E220" s="44"/>
      <c r="F220" s="44"/>
      <c r="G220" s="90" t="s">
        <v>165</v>
      </c>
      <c r="I220" s="16">
        <v>219</v>
      </c>
      <c r="J220" s="39" t="str">
        <f t="shared" ref="J220:J221" si="11">CONCATENATE(IF(ISBLANK(A220),"",A220&amp;CHAR(46)), IF(ISBLANK(B220),"",B220&amp;CHAR(46)), IF(ISBLANK(C220),"",C220&amp;CHAR(46)),IF(ISBLANK(D220),"",D220&amp;CHAR(46)), IF(ISBLANK(E220),"",E220&amp;CHAR(46)),IF(ISBLANK(F220),"",F220&amp;CHAR(46)),IF(ISBLANK(G220),"",G220) )</f>
        <v>Опарське ВУПЗГ.ДКС ОПАРИ, КЦ-3.Тз.п.,.ДКС.T</v>
      </c>
      <c r="K220" s="93" t="s">
        <v>509</v>
      </c>
      <c r="L220" s="24" t="s">
        <v>157</v>
      </c>
      <c r="M220" s="20" t="s">
        <v>7</v>
      </c>
      <c r="N220" s="20" t="s">
        <v>31</v>
      </c>
      <c r="O220" s="23"/>
      <c r="P220" s="20" t="s">
        <v>13</v>
      </c>
      <c r="Q220" s="20" t="s">
        <v>51</v>
      </c>
      <c r="R220" s="19" t="s">
        <v>395</v>
      </c>
      <c r="S220" s="23"/>
      <c r="T220" s="20" t="s">
        <v>50</v>
      </c>
      <c r="U220" s="20" t="s">
        <v>17</v>
      </c>
    </row>
    <row r="221" spans="1:21" x14ac:dyDescent="0.25">
      <c r="A221" s="82" t="s">
        <v>54</v>
      </c>
      <c r="B221" s="1" t="s">
        <v>477</v>
      </c>
      <c r="C221" s="96" t="s">
        <v>465</v>
      </c>
      <c r="D221" s="44" t="s">
        <v>468</v>
      </c>
      <c r="E221" s="44"/>
      <c r="F221" s="44"/>
      <c r="G221" s="90" t="s">
        <v>333</v>
      </c>
      <c r="I221" s="16">
        <v>220</v>
      </c>
      <c r="J221" s="39" t="str">
        <f t="shared" si="11"/>
        <v>Опарське ВУПЗГ.ДКС ОПАРИ, КЦ-3.Ратм.,мм рт.ст..ДКС.P</v>
      </c>
      <c r="K221" s="93" t="s">
        <v>465</v>
      </c>
      <c r="L221" s="23" t="s">
        <v>511</v>
      </c>
      <c r="M221" s="20" t="s">
        <v>7</v>
      </c>
      <c r="N221" s="20" t="s">
        <v>31</v>
      </c>
      <c r="O221" s="23"/>
      <c r="P221" s="20" t="s">
        <v>13</v>
      </c>
      <c r="Q221" s="20" t="s">
        <v>51</v>
      </c>
      <c r="R221" s="19" t="s">
        <v>395</v>
      </c>
      <c r="S221" s="23"/>
      <c r="T221" s="20" t="s">
        <v>50</v>
      </c>
      <c r="U221" s="20" t="s">
        <v>17</v>
      </c>
    </row>
    <row r="222" spans="1:21" s="101" customFormat="1" x14ac:dyDescent="0.25">
      <c r="A222" s="97" t="s">
        <v>54</v>
      </c>
      <c r="B222" s="98" t="s">
        <v>480</v>
      </c>
      <c r="C222" s="99" t="s">
        <v>466</v>
      </c>
      <c r="D222" s="98" t="s">
        <v>137</v>
      </c>
      <c r="E222" s="98"/>
      <c r="F222" s="98"/>
      <c r="G222" s="100" t="s">
        <v>333</v>
      </c>
      <c r="I222" s="16">
        <v>221</v>
      </c>
      <c r="J222" s="102" t="str">
        <f t="shared" si="9"/>
        <v>Опарське ВУПЗГ.ПСГ ОПАРСЬКЕ.Рвх.ПСГ.P</v>
      </c>
      <c r="K222" s="99" t="s">
        <v>466</v>
      </c>
      <c r="L222" s="103" t="s">
        <v>399</v>
      </c>
      <c r="M222" s="104" t="s">
        <v>7</v>
      </c>
      <c r="N222" s="104" t="s">
        <v>31</v>
      </c>
      <c r="O222" s="105"/>
      <c r="P222" s="104" t="s">
        <v>13</v>
      </c>
      <c r="Q222" s="104" t="s">
        <v>51</v>
      </c>
      <c r="R222" s="103" t="s">
        <v>395</v>
      </c>
      <c r="S222" s="105"/>
      <c r="T222" s="104" t="s">
        <v>50</v>
      </c>
      <c r="U222" s="104" t="s">
        <v>17</v>
      </c>
    </row>
    <row r="223" spans="1:21" s="101" customFormat="1" x14ac:dyDescent="0.25">
      <c r="A223" s="97" t="s">
        <v>54</v>
      </c>
      <c r="B223" s="98" t="s">
        <v>480</v>
      </c>
      <c r="C223" s="99" t="s">
        <v>467</v>
      </c>
      <c r="D223" s="98" t="s">
        <v>137</v>
      </c>
      <c r="E223" s="98"/>
      <c r="F223" s="98"/>
      <c r="G223" s="100" t="s">
        <v>333</v>
      </c>
      <c r="I223" s="16">
        <v>222</v>
      </c>
      <c r="J223" s="102" t="str">
        <f t="shared" si="9"/>
        <v>Опарське ВУПЗГ.ПСГ ОПАРСЬКЕ.Рвих.ПСГ.P</v>
      </c>
      <c r="K223" s="99" t="s">
        <v>467</v>
      </c>
      <c r="L223" s="103" t="s">
        <v>399</v>
      </c>
      <c r="M223" s="104" t="s">
        <v>7</v>
      </c>
      <c r="N223" s="104" t="s">
        <v>31</v>
      </c>
      <c r="O223" s="105"/>
      <c r="P223" s="104" t="s">
        <v>13</v>
      </c>
      <c r="Q223" s="104" t="s">
        <v>51</v>
      </c>
      <c r="R223" s="103" t="s">
        <v>395</v>
      </c>
      <c r="S223" s="105"/>
      <c r="T223" s="104" t="s">
        <v>50</v>
      </c>
      <c r="U223" s="104" t="s">
        <v>17</v>
      </c>
    </row>
    <row r="224" spans="1:21" s="101" customFormat="1" x14ac:dyDescent="0.25">
      <c r="A224" s="97" t="s">
        <v>54</v>
      </c>
      <c r="B224" s="98" t="s">
        <v>480</v>
      </c>
      <c r="C224" s="99" t="s">
        <v>469</v>
      </c>
      <c r="D224" s="98" t="s">
        <v>137</v>
      </c>
      <c r="E224" s="98"/>
      <c r="F224" s="98"/>
      <c r="G224" s="100" t="s">
        <v>165</v>
      </c>
      <c r="I224" s="16">
        <v>223</v>
      </c>
      <c r="J224" s="102" t="str">
        <f t="shared" si="9"/>
        <v>Опарське ВУПЗГ.ПСГ ОПАРСЬКЕ.Твх.ПСГ.T</v>
      </c>
      <c r="K224" s="99" t="s">
        <v>469</v>
      </c>
      <c r="L224" s="106" t="s">
        <v>157</v>
      </c>
      <c r="M224" s="104" t="s">
        <v>7</v>
      </c>
      <c r="N224" s="104" t="s">
        <v>31</v>
      </c>
      <c r="O224" s="105"/>
      <c r="P224" s="104" t="s">
        <v>13</v>
      </c>
      <c r="Q224" s="104" t="s">
        <v>51</v>
      </c>
      <c r="R224" s="103" t="s">
        <v>395</v>
      </c>
      <c r="S224" s="105"/>
      <c r="T224" s="104" t="s">
        <v>50</v>
      </c>
      <c r="U224" s="104" t="s">
        <v>17</v>
      </c>
    </row>
    <row r="225" spans="1:21" s="101" customFormat="1" x14ac:dyDescent="0.25">
      <c r="A225" s="97" t="s">
        <v>54</v>
      </c>
      <c r="B225" s="98" t="s">
        <v>480</v>
      </c>
      <c r="C225" s="99" t="s">
        <v>470</v>
      </c>
      <c r="D225" s="98" t="s">
        <v>137</v>
      </c>
      <c r="E225" s="98"/>
      <c r="F225" s="98"/>
      <c r="G225" s="100" t="s">
        <v>165</v>
      </c>
      <c r="I225" s="16">
        <v>224</v>
      </c>
      <c r="J225" s="102" t="str">
        <f t="shared" si="9"/>
        <v>Опарське ВУПЗГ.ПСГ ОПАРСЬКЕ.Твих.ПСГ.T</v>
      </c>
      <c r="K225" s="99" t="s">
        <v>470</v>
      </c>
      <c r="L225" s="106" t="s">
        <v>157</v>
      </c>
      <c r="M225" s="104" t="s">
        <v>7</v>
      </c>
      <c r="N225" s="104" t="s">
        <v>31</v>
      </c>
      <c r="O225" s="105"/>
      <c r="P225" s="104" t="s">
        <v>13</v>
      </c>
      <c r="Q225" s="104" t="s">
        <v>51</v>
      </c>
      <c r="R225" s="103" t="s">
        <v>395</v>
      </c>
      <c r="S225" s="105"/>
      <c r="T225" s="104" t="s">
        <v>50</v>
      </c>
      <c r="U225" s="104" t="s">
        <v>17</v>
      </c>
    </row>
    <row r="226" spans="1:21" s="101" customFormat="1" x14ac:dyDescent="0.25">
      <c r="A226" s="97" t="s">
        <v>54</v>
      </c>
      <c r="B226" s="98" t="s">
        <v>480</v>
      </c>
      <c r="C226" s="107" t="s">
        <v>508</v>
      </c>
      <c r="D226" s="98" t="s">
        <v>137</v>
      </c>
      <c r="E226" s="98"/>
      <c r="F226" s="98"/>
      <c r="G226" s="100" t="s">
        <v>168</v>
      </c>
      <c r="I226" s="16">
        <v>225</v>
      </c>
      <c r="J226" s="102" t="str">
        <f t="shared" si="9"/>
        <v>Опарське ВУПЗГ.ПСГ ОПАРСЬКЕ.Відбір/Закачка.ПСГ.Q</v>
      </c>
      <c r="K226" s="107" t="s">
        <v>510</v>
      </c>
      <c r="L226" s="20" t="s">
        <v>158</v>
      </c>
      <c r="M226" s="104" t="s">
        <v>7</v>
      </c>
      <c r="N226" s="104" t="s">
        <v>31</v>
      </c>
      <c r="O226" s="105"/>
      <c r="P226" s="104" t="s">
        <v>13</v>
      </c>
      <c r="Q226" s="104" t="s">
        <v>51</v>
      </c>
      <c r="R226" s="103" t="s">
        <v>395</v>
      </c>
      <c r="S226" s="105"/>
      <c r="T226" s="104" t="s">
        <v>50</v>
      </c>
      <c r="U226" s="104" t="s">
        <v>17</v>
      </c>
    </row>
    <row r="227" spans="1:21" s="101" customFormat="1" x14ac:dyDescent="0.25">
      <c r="A227" s="97" t="s">
        <v>54</v>
      </c>
      <c r="B227" s="98" t="s">
        <v>480</v>
      </c>
      <c r="C227" s="107" t="s">
        <v>481</v>
      </c>
      <c r="D227" s="98" t="s">
        <v>137</v>
      </c>
      <c r="E227" s="98"/>
      <c r="F227" s="98"/>
      <c r="G227" s="100" t="s">
        <v>486</v>
      </c>
      <c r="I227" s="16">
        <v>226</v>
      </c>
      <c r="J227" s="102" t="str">
        <f t="shared" si="9"/>
        <v>Опарське ВУПЗГ.ПСГ ОПАРСЬКЕ.загальна.ПСГ.шт</v>
      </c>
      <c r="K227" s="107" t="s">
        <v>481</v>
      </c>
      <c r="L227" s="125" t="s">
        <v>512</v>
      </c>
      <c r="M227" s="104" t="s">
        <v>7</v>
      </c>
      <c r="N227" s="104" t="s">
        <v>31</v>
      </c>
      <c r="O227" s="105"/>
      <c r="P227" s="105" t="s">
        <v>8</v>
      </c>
      <c r="Q227" s="105" t="s">
        <v>7</v>
      </c>
      <c r="R227" s="103" t="s">
        <v>395</v>
      </c>
      <c r="S227" s="105"/>
      <c r="T227" s="104" t="s">
        <v>50</v>
      </c>
      <c r="U227" s="104" t="s">
        <v>17</v>
      </c>
    </row>
    <row r="228" spans="1:21" s="101" customFormat="1" x14ac:dyDescent="0.25">
      <c r="A228" s="97" t="s">
        <v>54</v>
      </c>
      <c r="B228" s="98" t="s">
        <v>480</v>
      </c>
      <c r="C228" s="99" t="s">
        <v>482</v>
      </c>
      <c r="D228" s="98" t="s">
        <v>137</v>
      </c>
      <c r="E228" s="98"/>
      <c r="F228" s="98"/>
      <c r="G228" s="100" t="s">
        <v>486</v>
      </c>
      <c r="I228" s="16">
        <v>227</v>
      </c>
      <c r="J228" s="102" t="str">
        <f t="shared" si="9"/>
        <v>Опарське ВУПЗГ.ПСГ ОПАРСЬКЕ.у роботі.ПСГ.шт</v>
      </c>
      <c r="K228" s="99" t="s">
        <v>482</v>
      </c>
      <c r="L228" s="90" t="s">
        <v>512</v>
      </c>
      <c r="M228" s="104" t="s">
        <v>7</v>
      </c>
      <c r="N228" s="104" t="s">
        <v>31</v>
      </c>
      <c r="O228" s="105"/>
      <c r="P228" s="105" t="s">
        <v>8</v>
      </c>
      <c r="Q228" s="105" t="s">
        <v>7</v>
      </c>
      <c r="R228" s="103" t="s">
        <v>395</v>
      </c>
      <c r="S228" s="105"/>
      <c r="T228" s="104" t="s">
        <v>50</v>
      </c>
      <c r="U228" s="104" t="s">
        <v>17</v>
      </c>
    </row>
    <row r="229" spans="1:21" s="101" customFormat="1" x14ac:dyDescent="0.25">
      <c r="A229" s="97" t="s">
        <v>54</v>
      </c>
      <c r="B229" s="98" t="s">
        <v>480</v>
      </c>
      <c r="C229" s="99" t="s">
        <v>483</v>
      </c>
      <c r="D229" s="98" t="s">
        <v>137</v>
      </c>
      <c r="E229" s="98"/>
      <c r="F229" s="98"/>
      <c r="G229" s="100" t="s">
        <v>486</v>
      </c>
      <c r="I229" s="16">
        <v>228</v>
      </c>
      <c r="J229" s="102" t="str">
        <f t="shared" si="9"/>
        <v>Опарське ВУПЗГ.ПСГ ОПАРСЬКЕ.у ремонті.ПСГ.шт</v>
      </c>
      <c r="K229" s="99" t="s">
        <v>483</v>
      </c>
      <c r="L229" s="90" t="s">
        <v>512</v>
      </c>
      <c r="M229" s="104" t="s">
        <v>7</v>
      </c>
      <c r="N229" s="104" t="s">
        <v>31</v>
      </c>
      <c r="O229" s="105"/>
      <c r="P229" s="105" t="s">
        <v>8</v>
      </c>
      <c r="Q229" s="105" t="s">
        <v>7</v>
      </c>
      <c r="R229" s="103" t="s">
        <v>395</v>
      </c>
      <c r="S229" s="105"/>
      <c r="T229" s="104" t="s">
        <v>50</v>
      </c>
      <c r="U229" s="104" t="s">
        <v>17</v>
      </c>
    </row>
    <row r="230" spans="1:21" s="101" customFormat="1" x14ac:dyDescent="0.25">
      <c r="A230" s="97" t="s">
        <v>54</v>
      </c>
      <c r="B230" s="98" t="s">
        <v>480</v>
      </c>
      <c r="C230" s="99" t="s">
        <v>484</v>
      </c>
      <c r="D230" s="98" t="s">
        <v>137</v>
      </c>
      <c r="E230" s="98"/>
      <c r="F230" s="98"/>
      <c r="G230" s="100" t="s">
        <v>486</v>
      </c>
      <c r="I230" s="16">
        <v>229</v>
      </c>
      <c r="J230" s="102" t="str">
        <f t="shared" si="9"/>
        <v>Опарське ВУПЗГ.ПСГ ОПАРСЬКЕ.у резерві.ПСГ.шт</v>
      </c>
      <c r="K230" s="99" t="s">
        <v>484</v>
      </c>
      <c r="L230" s="90" t="s">
        <v>512</v>
      </c>
      <c r="M230" s="104" t="s">
        <v>7</v>
      </c>
      <c r="N230" s="104" t="s">
        <v>31</v>
      </c>
      <c r="O230" s="105"/>
      <c r="P230" s="105" t="s">
        <v>8</v>
      </c>
      <c r="Q230" s="105" t="s">
        <v>7</v>
      </c>
      <c r="R230" s="103" t="s">
        <v>395</v>
      </c>
      <c r="S230" s="105"/>
      <c r="T230" s="104" t="s">
        <v>50</v>
      </c>
      <c r="U230" s="104" t="s">
        <v>17</v>
      </c>
    </row>
    <row r="231" spans="1:21" s="111" customFormat="1" x14ac:dyDescent="0.25">
      <c r="A231" s="108" t="s">
        <v>54</v>
      </c>
      <c r="B231" s="109" t="s">
        <v>489</v>
      </c>
      <c r="C231" s="113" t="s">
        <v>466</v>
      </c>
      <c r="D231" s="110" t="s">
        <v>491</v>
      </c>
      <c r="E231" s="110">
        <v>2</v>
      </c>
      <c r="F231" s="110"/>
      <c r="G231" s="109" t="s">
        <v>333</v>
      </c>
      <c r="I231" s="16">
        <v>230</v>
      </c>
      <c r="J231" s="112" t="str">
        <f t="shared" ref="J231:J241" si="12">CONCATENATE(IF(ISBLANK(A231),"",A231&amp;CHAR(46)), IF(ISBLANK(B231),"",B231&amp;CHAR(46)), IF(ISBLANK(C231),"",C231&amp;CHAR(46)),IF(ISBLANK(D231),"",D231&amp;CHAR(46)), IF(ISBLANK(E231),"",E231&amp;CHAR(46)),IF(ISBLANK(F231),"",F231&amp;CHAR(46)),IF(ISBLANK(G231),"",G231) )</f>
        <v>Опарське ВУПЗГ.ДКС ОПАРИ, КЦ 1-2 ГМК№2.Рвх.ГМК.2.P</v>
      </c>
      <c r="K231" s="113" t="s">
        <v>466</v>
      </c>
      <c r="L231" s="114" t="s">
        <v>399</v>
      </c>
      <c r="M231" s="115" t="s">
        <v>7</v>
      </c>
      <c r="N231" s="115" t="s">
        <v>31</v>
      </c>
      <c r="O231" s="116"/>
      <c r="P231" s="115" t="s">
        <v>13</v>
      </c>
      <c r="Q231" s="115" t="s">
        <v>51</v>
      </c>
      <c r="R231" s="115" t="s">
        <v>395</v>
      </c>
      <c r="S231" s="116"/>
      <c r="T231" s="115" t="s">
        <v>50</v>
      </c>
      <c r="U231" s="115" t="s">
        <v>17</v>
      </c>
    </row>
    <row r="232" spans="1:21" s="111" customFormat="1" x14ac:dyDescent="0.25">
      <c r="A232" s="108" t="s">
        <v>54</v>
      </c>
      <c r="B232" s="109" t="s">
        <v>489</v>
      </c>
      <c r="C232" s="113" t="s">
        <v>467</v>
      </c>
      <c r="D232" s="110" t="s">
        <v>491</v>
      </c>
      <c r="E232" s="110">
        <v>3</v>
      </c>
      <c r="F232" s="110"/>
      <c r="G232" s="109" t="s">
        <v>333</v>
      </c>
      <c r="I232" s="16">
        <v>231</v>
      </c>
      <c r="J232" s="112" t="str">
        <f t="shared" si="12"/>
        <v>Опарське ВУПЗГ.ДКС ОПАРИ, КЦ 1-2 ГМК№2.Рвих.ГМК.3.P</v>
      </c>
      <c r="K232" s="113" t="s">
        <v>467</v>
      </c>
      <c r="L232" s="114" t="s">
        <v>399</v>
      </c>
      <c r="M232" s="115" t="s">
        <v>7</v>
      </c>
      <c r="N232" s="115" t="s">
        <v>31</v>
      </c>
      <c r="O232" s="116"/>
      <c r="P232" s="115" t="s">
        <v>13</v>
      </c>
      <c r="Q232" s="115" t="s">
        <v>51</v>
      </c>
      <c r="R232" s="115" t="s">
        <v>395</v>
      </c>
      <c r="S232" s="116"/>
      <c r="T232" s="115" t="s">
        <v>50</v>
      </c>
      <c r="U232" s="115" t="s">
        <v>17</v>
      </c>
    </row>
    <row r="233" spans="1:21" s="111" customFormat="1" x14ac:dyDescent="0.25">
      <c r="A233" s="108" t="s">
        <v>54</v>
      </c>
      <c r="B233" s="109" t="s">
        <v>489</v>
      </c>
      <c r="C233" s="113" t="s">
        <v>485</v>
      </c>
      <c r="D233" s="110" t="s">
        <v>491</v>
      </c>
      <c r="E233" s="110">
        <v>4</v>
      </c>
      <c r="F233" s="110"/>
      <c r="G233" s="109"/>
      <c r="I233" s="16">
        <v>232</v>
      </c>
      <c r="J233" s="112" t="str">
        <f t="shared" si="12"/>
        <v>Опарське ВУПЗГ.ДКС ОПАРИ, КЦ 1-2 ГМК№2.Е.ГМК.4.</v>
      </c>
      <c r="K233" s="113" t="s">
        <v>485</v>
      </c>
      <c r="L233" s="116"/>
      <c r="M233" s="115" t="s">
        <v>7</v>
      </c>
      <c r="N233" s="115" t="s">
        <v>31</v>
      </c>
      <c r="O233" s="116"/>
      <c r="P233" s="115" t="s">
        <v>13</v>
      </c>
      <c r="Q233" s="115" t="s">
        <v>51</v>
      </c>
      <c r="R233" s="115" t="s">
        <v>395</v>
      </c>
      <c r="S233" s="126" t="s">
        <v>555</v>
      </c>
      <c r="T233" s="115" t="s">
        <v>50</v>
      </c>
      <c r="U233" s="115" t="s">
        <v>17</v>
      </c>
    </row>
    <row r="234" spans="1:21" s="111" customFormat="1" x14ac:dyDescent="0.25">
      <c r="A234" s="108" t="s">
        <v>54</v>
      </c>
      <c r="B234" s="109" t="s">
        <v>489</v>
      </c>
      <c r="C234" s="113" t="s">
        <v>469</v>
      </c>
      <c r="D234" s="110" t="s">
        <v>491</v>
      </c>
      <c r="E234" s="110">
        <v>5</v>
      </c>
      <c r="F234" s="110"/>
      <c r="G234" s="109" t="s">
        <v>165</v>
      </c>
      <c r="I234" s="16">
        <v>233</v>
      </c>
      <c r="J234" s="112" t="str">
        <f t="shared" si="12"/>
        <v>Опарське ВУПЗГ.ДКС ОПАРИ, КЦ 1-2 ГМК№2.Твх.ГМК.5.T</v>
      </c>
      <c r="K234" s="113" t="s">
        <v>469</v>
      </c>
      <c r="L234" s="117" t="s">
        <v>157</v>
      </c>
      <c r="M234" s="115" t="s">
        <v>7</v>
      </c>
      <c r="N234" s="115" t="s">
        <v>31</v>
      </c>
      <c r="O234" s="116"/>
      <c r="P234" s="115" t="s">
        <v>13</v>
      </c>
      <c r="Q234" s="115" t="s">
        <v>51</v>
      </c>
      <c r="R234" s="115" t="s">
        <v>395</v>
      </c>
      <c r="S234" s="116"/>
      <c r="T234" s="115" t="s">
        <v>50</v>
      </c>
      <c r="U234" s="115" t="s">
        <v>17</v>
      </c>
    </row>
    <row r="235" spans="1:21" s="111" customFormat="1" x14ac:dyDescent="0.25">
      <c r="A235" s="108" t="s">
        <v>54</v>
      </c>
      <c r="B235" s="109" t="s">
        <v>489</v>
      </c>
      <c r="C235" s="113" t="s">
        <v>470</v>
      </c>
      <c r="D235" s="110" t="s">
        <v>491</v>
      </c>
      <c r="E235" s="110">
        <v>6</v>
      </c>
      <c r="F235" s="110"/>
      <c r="G235" s="109" t="s">
        <v>165</v>
      </c>
      <c r="I235" s="16">
        <v>234</v>
      </c>
      <c r="J235" s="112" t="str">
        <f t="shared" si="12"/>
        <v>Опарське ВУПЗГ.ДКС ОПАРИ, КЦ 1-2 ГМК№2.Твих.ГМК.6.T</v>
      </c>
      <c r="K235" s="113" t="s">
        <v>470</v>
      </c>
      <c r="L235" s="117" t="s">
        <v>157</v>
      </c>
      <c r="M235" s="115" t="s">
        <v>7</v>
      </c>
      <c r="N235" s="115" t="s">
        <v>31</v>
      </c>
      <c r="O235" s="116"/>
      <c r="P235" s="115" t="s">
        <v>13</v>
      </c>
      <c r="Q235" s="115" t="s">
        <v>51</v>
      </c>
      <c r="R235" s="115" t="s">
        <v>395</v>
      </c>
      <c r="S235" s="116"/>
      <c r="T235" s="115" t="s">
        <v>50</v>
      </c>
      <c r="U235" s="115" t="s">
        <v>17</v>
      </c>
    </row>
    <row r="236" spans="1:21" s="111" customFormat="1" x14ac:dyDescent="0.25">
      <c r="A236" s="108" t="s">
        <v>54</v>
      </c>
      <c r="B236" s="109" t="s">
        <v>489</v>
      </c>
      <c r="C236" s="113" t="s">
        <v>471</v>
      </c>
      <c r="D236" s="110" t="s">
        <v>491</v>
      </c>
      <c r="E236" s="110">
        <v>7</v>
      </c>
      <c r="F236" s="110"/>
      <c r="G236" s="109" t="s">
        <v>165</v>
      </c>
      <c r="I236" s="16">
        <v>235</v>
      </c>
      <c r="J236" s="112" t="str">
        <f t="shared" si="12"/>
        <v>Опарське ВУПЗГ.ДКС ОПАРИ, КЦ 1-2 ГМК№2.Тапо.ГМК.7.T</v>
      </c>
      <c r="K236" s="113" t="s">
        <v>471</v>
      </c>
      <c r="L236" s="117" t="s">
        <v>157</v>
      </c>
      <c r="M236" s="115" t="s">
        <v>7</v>
      </c>
      <c r="N236" s="115" t="s">
        <v>31</v>
      </c>
      <c r="O236" s="116"/>
      <c r="P236" s="115" t="s">
        <v>13</v>
      </c>
      <c r="Q236" s="115" t="s">
        <v>51</v>
      </c>
      <c r="R236" s="115" t="s">
        <v>395</v>
      </c>
      <c r="S236" s="116"/>
      <c r="T236" s="115" t="s">
        <v>50</v>
      </c>
      <c r="U236" s="115" t="s">
        <v>17</v>
      </c>
    </row>
    <row r="237" spans="1:21" s="111" customFormat="1" x14ac:dyDescent="0.25">
      <c r="A237" s="108" t="s">
        <v>54</v>
      </c>
      <c r="B237" s="109" t="s">
        <v>489</v>
      </c>
      <c r="C237" s="120" t="s">
        <v>507</v>
      </c>
      <c r="D237" s="110" t="s">
        <v>491</v>
      </c>
      <c r="E237" s="110">
        <v>8</v>
      </c>
      <c r="F237" s="110"/>
      <c r="G237" s="109" t="s">
        <v>168</v>
      </c>
      <c r="I237" s="16">
        <v>236</v>
      </c>
      <c r="J237" s="112" t="str">
        <f t="shared" si="12"/>
        <v>Опарське ВУПЗГ.ДКС ОПАРИ, КЦ 1-2 ГМК№2.Перекачка.ГМК.8.Q</v>
      </c>
      <c r="K237" s="118" t="s">
        <v>472</v>
      </c>
      <c r="L237" s="20" t="s">
        <v>158</v>
      </c>
      <c r="M237" s="115" t="s">
        <v>7</v>
      </c>
      <c r="N237" s="115" t="s">
        <v>31</v>
      </c>
      <c r="O237" s="116"/>
      <c r="P237" s="115" t="s">
        <v>13</v>
      </c>
      <c r="Q237" s="115" t="s">
        <v>51</v>
      </c>
      <c r="R237" s="115" t="s">
        <v>395</v>
      </c>
      <c r="S237" s="116"/>
      <c r="T237" s="115" t="s">
        <v>50</v>
      </c>
      <c r="U237" s="115" t="s">
        <v>17</v>
      </c>
    </row>
    <row r="238" spans="1:21" s="111" customFormat="1" x14ac:dyDescent="0.25">
      <c r="A238" s="108" t="s">
        <v>54</v>
      </c>
      <c r="B238" s="110" t="s">
        <v>489</v>
      </c>
      <c r="C238" s="120" t="s">
        <v>478</v>
      </c>
      <c r="D238" s="110" t="s">
        <v>491</v>
      </c>
      <c r="E238" s="110">
        <v>9</v>
      </c>
      <c r="F238" s="110"/>
      <c r="G238" s="109" t="s">
        <v>487</v>
      </c>
      <c r="I238" s="16">
        <v>237</v>
      </c>
      <c r="J238" s="112" t="str">
        <f t="shared" si="12"/>
        <v>Опарське ВУПЗГ.ДКС ОПАРИ, КЦ 1-2 ГМК№2.Оберти.ГМК.9.об/хв</v>
      </c>
      <c r="K238" s="118" t="s">
        <v>478</v>
      </c>
      <c r="L238" s="19" t="s">
        <v>487</v>
      </c>
      <c r="M238" s="115" t="s">
        <v>7</v>
      </c>
      <c r="N238" s="115" t="s">
        <v>31</v>
      </c>
      <c r="O238" s="116"/>
      <c r="P238" s="116" t="s">
        <v>8</v>
      </c>
      <c r="Q238" s="116" t="s">
        <v>7</v>
      </c>
      <c r="R238" s="115" t="s">
        <v>395</v>
      </c>
      <c r="S238" s="116"/>
      <c r="T238" s="115" t="s">
        <v>50</v>
      </c>
      <c r="U238" s="115" t="s">
        <v>17</v>
      </c>
    </row>
    <row r="239" spans="1:21" s="111" customFormat="1" x14ac:dyDescent="0.25">
      <c r="A239" s="108" t="s">
        <v>54</v>
      </c>
      <c r="B239" s="110" t="s">
        <v>489</v>
      </c>
      <c r="C239" s="120" t="s">
        <v>479</v>
      </c>
      <c r="D239" s="110" t="s">
        <v>491</v>
      </c>
      <c r="E239" s="110"/>
      <c r="F239" s="110"/>
      <c r="G239" s="110"/>
      <c r="I239" s="16">
        <v>238</v>
      </c>
      <c r="J239" s="112" t="str">
        <f t="shared" si="12"/>
        <v>Опарське ВУПЗГ.ДКС ОПАРИ, КЦ 1-2 ГМК№2.Схема вкл.ГМК.</v>
      </c>
      <c r="K239" s="118" t="s">
        <v>479</v>
      </c>
      <c r="L239" s="116"/>
      <c r="M239" s="115" t="s">
        <v>7</v>
      </c>
      <c r="N239" s="115" t="s">
        <v>31</v>
      </c>
      <c r="O239" s="126" t="s">
        <v>172</v>
      </c>
      <c r="P239" s="116"/>
      <c r="Q239" s="116"/>
      <c r="R239" s="115"/>
      <c r="S239" s="116"/>
      <c r="T239" s="115" t="s">
        <v>50</v>
      </c>
      <c r="U239" s="114" t="s">
        <v>159</v>
      </c>
    </row>
    <row r="240" spans="1:21" s="111" customFormat="1" x14ac:dyDescent="0.25">
      <c r="A240" s="108" t="s">
        <v>54</v>
      </c>
      <c r="B240" s="110" t="s">
        <v>489</v>
      </c>
      <c r="C240" s="120" t="s">
        <v>490</v>
      </c>
      <c r="D240" s="110" t="s">
        <v>491</v>
      </c>
      <c r="E240" s="110"/>
      <c r="F240" s="110"/>
      <c r="G240" s="110"/>
      <c r="I240" s="16">
        <v>239</v>
      </c>
      <c r="J240" s="112" t="str">
        <f t="shared" si="12"/>
        <v>Опарське ВУПЗГ.ДКС ОПАРИ, КЦ 1-2 ГМК№2.Стан.ГМК.</v>
      </c>
      <c r="K240" s="119" t="s">
        <v>490</v>
      </c>
      <c r="L240" s="116"/>
      <c r="M240" s="115" t="s">
        <v>7</v>
      </c>
      <c r="N240" s="115" t="s">
        <v>31</v>
      </c>
      <c r="O240" s="116" t="s">
        <v>50</v>
      </c>
      <c r="P240" s="116"/>
      <c r="Q240" s="116"/>
      <c r="R240" s="115"/>
      <c r="S240" s="116"/>
      <c r="T240" s="115" t="s">
        <v>50</v>
      </c>
      <c r="U240" s="114" t="s">
        <v>159</v>
      </c>
    </row>
    <row r="241" spans="1:21" s="111" customFormat="1" x14ac:dyDescent="0.25">
      <c r="A241" s="108" t="s">
        <v>54</v>
      </c>
      <c r="B241" s="109" t="s">
        <v>492</v>
      </c>
      <c r="C241" s="113" t="s">
        <v>466</v>
      </c>
      <c r="D241" s="110" t="s">
        <v>491</v>
      </c>
      <c r="E241" s="110">
        <v>2</v>
      </c>
      <c r="F241" s="110"/>
      <c r="G241" s="109" t="s">
        <v>333</v>
      </c>
      <c r="I241" s="16">
        <v>240</v>
      </c>
      <c r="J241" s="112" t="str">
        <f t="shared" si="12"/>
        <v>Опарське ВУПЗГ.ДКС ОПАРИ, КЦ 1-2 ГМК№3.Рвх.ГМК.2.P</v>
      </c>
      <c r="K241" s="113" t="s">
        <v>466</v>
      </c>
      <c r="L241" s="114" t="s">
        <v>399</v>
      </c>
      <c r="M241" s="115" t="s">
        <v>7</v>
      </c>
      <c r="N241" s="115" t="s">
        <v>31</v>
      </c>
      <c r="O241" s="116"/>
      <c r="P241" s="115" t="s">
        <v>13</v>
      </c>
      <c r="Q241" s="115" t="s">
        <v>51</v>
      </c>
      <c r="R241" s="115" t="s">
        <v>395</v>
      </c>
      <c r="S241" s="116"/>
      <c r="T241" s="115" t="s">
        <v>50</v>
      </c>
      <c r="U241" s="115" t="s">
        <v>17</v>
      </c>
    </row>
    <row r="242" spans="1:21" s="111" customFormat="1" x14ac:dyDescent="0.25">
      <c r="A242" s="108" t="s">
        <v>54</v>
      </c>
      <c r="B242" s="109" t="s">
        <v>492</v>
      </c>
      <c r="C242" s="113" t="s">
        <v>467</v>
      </c>
      <c r="D242" s="110" t="s">
        <v>491</v>
      </c>
      <c r="E242" s="110">
        <v>3</v>
      </c>
      <c r="F242" s="110"/>
      <c r="G242" s="109" t="s">
        <v>333</v>
      </c>
      <c r="I242" s="16">
        <v>241</v>
      </c>
      <c r="J242" s="112" t="str">
        <f t="shared" ref="J242:J250" si="13">CONCATENATE(IF(ISBLANK(A242),"",A242&amp;CHAR(46)), IF(ISBLANK(B242),"",B242&amp;CHAR(46)), IF(ISBLANK(C242),"",C242&amp;CHAR(46)),IF(ISBLANK(D242),"",D242&amp;CHAR(46)), IF(ISBLANK(E242),"",E242&amp;CHAR(46)),IF(ISBLANK(F242),"",F242&amp;CHAR(46)),IF(ISBLANK(G242),"",G242) )</f>
        <v>Опарське ВУПЗГ.ДКС ОПАРИ, КЦ 1-2 ГМК№3.Рвих.ГМК.3.P</v>
      </c>
      <c r="K242" s="113" t="s">
        <v>467</v>
      </c>
      <c r="L242" s="114" t="s">
        <v>399</v>
      </c>
      <c r="M242" s="115" t="s">
        <v>7</v>
      </c>
      <c r="N242" s="115" t="s">
        <v>31</v>
      </c>
      <c r="O242" s="116"/>
      <c r="P242" s="115" t="s">
        <v>13</v>
      </c>
      <c r="Q242" s="115" t="s">
        <v>51</v>
      </c>
      <c r="R242" s="115" t="s">
        <v>395</v>
      </c>
      <c r="S242" s="116"/>
      <c r="T242" s="115" t="s">
        <v>50</v>
      </c>
      <c r="U242" s="115" t="s">
        <v>17</v>
      </c>
    </row>
    <row r="243" spans="1:21" s="111" customFormat="1" x14ac:dyDescent="0.25">
      <c r="A243" s="108" t="s">
        <v>54</v>
      </c>
      <c r="B243" s="109" t="s">
        <v>492</v>
      </c>
      <c r="C243" s="113" t="s">
        <v>485</v>
      </c>
      <c r="D243" s="110" t="s">
        <v>491</v>
      </c>
      <c r="E243" s="110">
        <v>4</v>
      </c>
      <c r="F243" s="110"/>
      <c r="G243" s="109"/>
      <c r="I243" s="16">
        <v>242</v>
      </c>
      <c r="J243" s="112" t="str">
        <f t="shared" si="13"/>
        <v>Опарське ВУПЗГ.ДКС ОПАРИ, КЦ 1-2 ГМК№3.Е.ГМК.4.</v>
      </c>
      <c r="K243" s="113" t="s">
        <v>485</v>
      </c>
      <c r="L243" s="116"/>
      <c r="M243" s="115" t="s">
        <v>7</v>
      </c>
      <c r="N243" s="115" t="s">
        <v>31</v>
      </c>
      <c r="O243" s="116"/>
      <c r="P243" s="115" t="s">
        <v>13</v>
      </c>
      <c r="Q243" s="115" t="s">
        <v>51</v>
      </c>
      <c r="R243" s="115" t="s">
        <v>395</v>
      </c>
      <c r="S243" s="126" t="s">
        <v>556</v>
      </c>
      <c r="T243" s="115" t="s">
        <v>50</v>
      </c>
      <c r="U243" s="115" t="s">
        <v>17</v>
      </c>
    </row>
    <row r="244" spans="1:21" s="111" customFormat="1" x14ac:dyDescent="0.25">
      <c r="A244" s="108" t="s">
        <v>54</v>
      </c>
      <c r="B244" s="109" t="s">
        <v>492</v>
      </c>
      <c r="C244" s="113" t="s">
        <v>469</v>
      </c>
      <c r="D244" s="110" t="s">
        <v>491</v>
      </c>
      <c r="E244" s="110">
        <v>5</v>
      </c>
      <c r="F244" s="110"/>
      <c r="G244" s="109" t="s">
        <v>165</v>
      </c>
      <c r="I244" s="16">
        <v>243</v>
      </c>
      <c r="J244" s="112" t="str">
        <f t="shared" si="13"/>
        <v>Опарське ВУПЗГ.ДКС ОПАРИ, КЦ 1-2 ГМК№3.Твх.ГМК.5.T</v>
      </c>
      <c r="K244" s="113" t="s">
        <v>469</v>
      </c>
      <c r="L244" s="117" t="s">
        <v>157</v>
      </c>
      <c r="M244" s="115" t="s">
        <v>7</v>
      </c>
      <c r="N244" s="115" t="s">
        <v>31</v>
      </c>
      <c r="O244" s="116"/>
      <c r="P244" s="115" t="s">
        <v>13</v>
      </c>
      <c r="Q244" s="115" t="s">
        <v>51</v>
      </c>
      <c r="R244" s="115" t="s">
        <v>395</v>
      </c>
      <c r="S244" s="116"/>
      <c r="T244" s="115" t="s">
        <v>50</v>
      </c>
      <c r="U244" s="115" t="s">
        <v>17</v>
      </c>
    </row>
    <row r="245" spans="1:21" s="111" customFormat="1" x14ac:dyDescent="0.25">
      <c r="A245" s="108" t="s">
        <v>54</v>
      </c>
      <c r="B245" s="109" t="s">
        <v>492</v>
      </c>
      <c r="C245" s="113" t="s">
        <v>470</v>
      </c>
      <c r="D245" s="110" t="s">
        <v>491</v>
      </c>
      <c r="E245" s="110">
        <v>6</v>
      </c>
      <c r="F245" s="110"/>
      <c r="G245" s="109" t="s">
        <v>165</v>
      </c>
      <c r="I245" s="16">
        <v>244</v>
      </c>
      <c r="J245" s="112" t="str">
        <f t="shared" si="13"/>
        <v>Опарське ВУПЗГ.ДКС ОПАРИ, КЦ 1-2 ГМК№3.Твих.ГМК.6.T</v>
      </c>
      <c r="K245" s="113" t="s">
        <v>470</v>
      </c>
      <c r="L245" s="117" t="s">
        <v>157</v>
      </c>
      <c r="M245" s="115" t="s">
        <v>7</v>
      </c>
      <c r="N245" s="115" t="s">
        <v>31</v>
      </c>
      <c r="O245" s="116"/>
      <c r="P245" s="115" t="s">
        <v>13</v>
      </c>
      <c r="Q245" s="115" t="s">
        <v>51</v>
      </c>
      <c r="R245" s="115" t="s">
        <v>395</v>
      </c>
      <c r="S245" s="116"/>
      <c r="T245" s="115" t="s">
        <v>50</v>
      </c>
      <c r="U245" s="115" t="s">
        <v>17</v>
      </c>
    </row>
    <row r="246" spans="1:21" s="111" customFormat="1" x14ac:dyDescent="0.25">
      <c r="A246" s="108" t="s">
        <v>54</v>
      </c>
      <c r="B246" s="109" t="s">
        <v>492</v>
      </c>
      <c r="C246" s="113" t="s">
        <v>471</v>
      </c>
      <c r="D246" s="110" t="s">
        <v>491</v>
      </c>
      <c r="E246" s="110">
        <v>7</v>
      </c>
      <c r="F246" s="110"/>
      <c r="G246" s="109" t="s">
        <v>165</v>
      </c>
      <c r="I246" s="16">
        <v>245</v>
      </c>
      <c r="J246" s="112" t="str">
        <f t="shared" si="13"/>
        <v>Опарське ВУПЗГ.ДКС ОПАРИ, КЦ 1-2 ГМК№3.Тапо.ГМК.7.T</v>
      </c>
      <c r="K246" s="113" t="s">
        <v>471</v>
      </c>
      <c r="L246" s="117" t="s">
        <v>157</v>
      </c>
      <c r="M246" s="115" t="s">
        <v>7</v>
      </c>
      <c r="N246" s="115" t="s">
        <v>31</v>
      </c>
      <c r="O246" s="116"/>
      <c r="P246" s="115" t="s">
        <v>13</v>
      </c>
      <c r="Q246" s="115" t="s">
        <v>51</v>
      </c>
      <c r="R246" s="115" t="s">
        <v>395</v>
      </c>
      <c r="S246" s="116"/>
      <c r="T246" s="115" t="s">
        <v>50</v>
      </c>
      <c r="U246" s="115" t="s">
        <v>17</v>
      </c>
    </row>
    <row r="247" spans="1:21" s="111" customFormat="1" x14ac:dyDescent="0.25">
      <c r="A247" s="108" t="s">
        <v>54</v>
      </c>
      <c r="B247" s="109" t="s">
        <v>492</v>
      </c>
      <c r="C247" s="120" t="s">
        <v>507</v>
      </c>
      <c r="D247" s="110" t="s">
        <v>491</v>
      </c>
      <c r="E247" s="110">
        <v>8</v>
      </c>
      <c r="F247" s="110"/>
      <c r="G247" s="109" t="s">
        <v>168</v>
      </c>
      <c r="I247" s="16">
        <v>246</v>
      </c>
      <c r="J247" s="112" t="str">
        <f t="shared" si="13"/>
        <v>Опарське ВУПЗГ.ДКС ОПАРИ, КЦ 1-2 ГМК№3.Перекачка.ГМК.8.Q</v>
      </c>
      <c r="K247" s="120" t="s">
        <v>507</v>
      </c>
      <c r="L247" s="20" t="s">
        <v>158</v>
      </c>
      <c r="M247" s="115" t="s">
        <v>7</v>
      </c>
      <c r="N247" s="115" t="s">
        <v>31</v>
      </c>
      <c r="O247" s="116"/>
      <c r="P247" s="115" t="s">
        <v>13</v>
      </c>
      <c r="Q247" s="115" t="s">
        <v>51</v>
      </c>
      <c r="R247" s="115" t="s">
        <v>395</v>
      </c>
      <c r="S247" s="116"/>
      <c r="T247" s="115" t="s">
        <v>50</v>
      </c>
      <c r="U247" s="115" t="s">
        <v>17</v>
      </c>
    </row>
    <row r="248" spans="1:21" s="111" customFormat="1" x14ac:dyDescent="0.25">
      <c r="A248" s="108" t="s">
        <v>54</v>
      </c>
      <c r="B248" s="110" t="s">
        <v>492</v>
      </c>
      <c r="C248" s="120" t="s">
        <v>478</v>
      </c>
      <c r="D248" s="110" t="s">
        <v>491</v>
      </c>
      <c r="E248" s="110">
        <v>9</v>
      </c>
      <c r="F248" s="110"/>
      <c r="G248" s="109" t="s">
        <v>487</v>
      </c>
      <c r="I248" s="16">
        <v>247</v>
      </c>
      <c r="J248" s="112" t="str">
        <f t="shared" si="13"/>
        <v>Опарське ВУПЗГ.ДКС ОПАРИ, КЦ 1-2 ГМК№3.Оберти.ГМК.9.об/хв</v>
      </c>
      <c r="K248" s="120" t="s">
        <v>478</v>
      </c>
      <c r="L248" s="19" t="s">
        <v>487</v>
      </c>
      <c r="M248" s="115" t="s">
        <v>7</v>
      </c>
      <c r="N248" s="115" t="s">
        <v>31</v>
      </c>
      <c r="O248" s="116"/>
      <c r="P248" s="116" t="s">
        <v>8</v>
      </c>
      <c r="Q248" s="116" t="s">
        <v>7</v>
      </c>
      <c r="R248" s="115" t="s">
        <v>395</v>
      </c>
      <c r="S248" s="116"/>
      <c r="T248" s="115" t="s">
        <v>50</v>
      </c>
      <c r="U248" s="115" t="s">
        <v>17</v>
      </c>
    </row>
    <row r="249" spans="1:21" s="111" customFormat="1" x14ac:dyDescent="0.25">
      <c r="A249" s="108" t="s">
        <v>54</v>
      </c>
      <c r="B249" s="110" t="s">
        <v>492</v>
      </c>
      <c r="C249" s="120" t="s">
        <v>479</v>
      </c>
      <c r="D249" s="110" t="s">
        <v>491</v>
      </c>
      <c r="E249" s="110"/>
      <c r="F249" s="110"/>
      <c r="G249" s="110"/>
      <c r="I249" s="16">
        <v>248</v>
      </c>
      <c r="J249" s="112" t="str">
        <f t="shared" si="13"/>
        <v>Опарське ВУПЗГ.ДКС ОПАРИ, КЦ 1-2 ГМК№3.Схема вкл.ГМК.</v>
      </c>
      <c r="K249" s="120" t="s">
        <v>479</v>
      </c>
      <c r="L249" s="116"/>
      <c r="M249" s="115" t="s">
        <v>7</v>
      </c>
      <c r="N249" s="115" t="s">
        <v>31</v>
      </c>
      <c r="O249" s="126" t="s">
        <v>172</v>
      </c>
      <c r="P249" s="116"/>
      <c r="Q249" s="116"/>
      <c r="R249" s="115"/>
      <c r="S249" s="116"/>
      <c r="T249" s="115" t="s">
        <v>50</v>
      </c>
      <c r="U249" s="114" t="s">
        <v>159</v>
      </c>
    </row>
    <row r="250" spans="1:21" s="111" customFormat="1" x14ac:dyDescent="0.25">
      <c r="A250" s="108" t="s">
        <v>54</v>
      </c>
      <c r="B250" s="110" t="s">
        <v>492</v>
      </c>
      <c r="C250" s="120" t="s">
        <v>490</v>
      </c>
      <c r="D250" s="110" t="s">
        <v>491</v>
      </c>
      <c r="E250" s="110"/>
      <c r="F250" s="110"/>
      <c r="G250" s="110"/>
      <c r="I250" s="16">
        <v>249</v>
      </c>
      <c r="J250" s="112" t="str">
        <f t="shared" si="13"/>
        <v>Опарське ВУПЗГ.ДКС ОПАРИ, КЦ 1-2 ГМК№3.Стан.ГМК.</v>
      </c>
      <c r="K250" s="120" t="s">
        <v>490</v>
      </c>
      <c r="L250" s="116"/>
      <c r="M250" s="115" t="s">
        <v>7</v>
      </c>
      <c r="N250" s="115" t="s">
        <v>31</v>
      </c>
      <c r="O250" s="116" t="s">
        <v>50</v>
      </c>
      <c r="P250" s="116"/>
      <c r="Q250" s="116"/>
      <c r="R250" s="115"/>
      <c r="S250" s="116"/>
      <c r="T250" s="115" t="s">
        <v>50</v>
      </c>
      <c r="U250" s="114" t="s">
        <v>159</v>
      </c>
    </row>
    <row r="251" spans="1:21" s="111" customFormat="1" x14ac:dyDescent="0.25">
      <c r="A251" s="108" t="s">
        <v>54</v>
      </c>
      <c r="B251" s="109" t="s">
        <v>493</v>
      </c>
      <c r="C251" s="113" t="s">
        <v>466</v>
      </c>
      <c r="D251" s="110" t="s">
        <v>491</v>
      </c>
      <c r="E251" s="110">
        <v>2</v>
      </c>
      <c r="F251" s="110"/>
      <c r="G251" s="109" t="s">
        <v>333</v>
      </c>
      <c r="I251" s="16">
        <v>250</v>
      </c>
      <c r="J251" s="121" t="str">
        <f t="shared" ref="J251:J260" si="14">CONCATENATE(IF(ISBLANK(A251),"",A251&amp;CHAR(46)), IF(ISBLANK(B251),"",B251&amp;CHAR(46)), IF(ISBLANK(C251),"",C251&amp;CHAR(46)),IF(ISBLANK(D251),"",D251&amp;CHAR(46)), IF(ISBLANK(E251),"",E251&amp;CHAR(46)),IF(ISBLANK(F251),"",F251&amp;CHAR(46)),IF(ISBLANK(G251),"",G251) )</f>
        <v>Опарське ВУПЗГ.ДКС ОПАРИ, КЦ 1-2 ГМК№4.Рвх.ГМК.2.P</v>
      </c>
      <c r="K251" s="113" t="s">
        <v>466</v>
      </c>
      <c r="L251" s="114" t="s">
        <v>399</v>
      </c>
      <c r="M251" s="115" t="s">
        <v>7</v>
      </c>
      <c r="N251" s="115" t="s">
        <v>31</v>
      </c>
      <c r="O251" s="116"/>
      <c r="P251" s="115" t="s">
        <v>13</v>
      </c>
      <c r="Q251" s="115" t="s">
        <v>51</v>
      </c>
      <c r="R251" s="115" t="s">
        <v>395</v>
      </c>
      <c r="S251" s="116"/>
      <c r="T251" s="115" t="s">
        <v>50</v>
      </c>
      <c r="U251" s="115" t="s">
        <v>17</v>
      </c>
    </row>
    <row r="252" spans="1:21" s="111" customFormat="1" x14ac:dyDescent="0.25">
      <c r="A252" s="108" t="s">
        <v>54</v>
      </c>
      <c r="B252" s="109" t="s">
        <v>493</v>
      </c>
      <c r="C252" s="113" t="s">
        <v>467</v>
      </c>
      <c r="D252" s="110" t="s">
        <v>491</v>
      </c>
      <c r="E252" s="110">
        <v>3</v>
      </c>
      <c r="F252" s="110"/>
      <c r="G252" s="109" t="s">
        <v>333</v>
      </c>
      <c r="I252" s="16">
        <v>251</v>
      </c>
      <c r="J252" s="112" t="str">
        <f t="shared" si="14"/>
        <v>Опарське ВУПЗГ.ДКС ОПАРИ, КЦ 1-2 ГМК№4.Рвих.ГМК.3.P</v>
      </c>
      <c r="K252" s="113" t="s">
        <v>467</v>
      </c>
      <c r="L252" s="114" t="s">
        <v>399</v>
      </c>
      <c r="M252" s="115" t="s">
        <v>7</v>
      </c>
      <c r="N252" s="115" t="s">
        <v>31</v>
      </c>
      <c r="O252" s="116"/>
      <c r="P252" s="115" t="s">
        <v>13</v>
      </c>
      <c r="Q252" s="115" t="s">
        <v>51</v>
      </c>
      <c r="R252" s="115" t="s">
        <v>395</v>
      </c>
      <c r="S252" s="116"/>
      <c r="T252" s="115" t="s">
        <v>50</v>
      </c>
      <c r="U252" s="115" t="s">
        <v>17</v>
      </c>
    </row>
    <row r="253" spans="1:21" s="111" customFormat="1" x14ac:dyDescent="0.25">
      <c r="A253" s="108" t="s">
        <v>54</v>
      </c>
      <c r="B253" s="109" t="s">
        <v>493</v>
      </c>
      <c r="C253" s="113" t="s">
        <v>485</v>
      </c>
      <c r="D253" s="110" t="s">
        <v>491</v>
      </c>
      <c r="E253" s="110">
        <v>4</v>
      </c>
      <c r="F253" s="110"/>
      <c r="G253" s="109"/>
      <c r="I253" s="16">
        <v>252</v>
      </c>
      <c r="J253" s="112" t="str">
        <f t="shared" si="14"/>
        <v>Опарське ВУПЗГ.ДКС ОПАРИ, КЦ 1-2 ГМК№4.Е.ГМК.4.</v>
      </c>
      <c r="K253" s="113" t="s">
        <v>485</v>
      </c>
      <c r="L253" s="116"/>
      <c r="M253" s="115" t="s">
        <v>7</v>
      </c>
      <c r="N253" s="115" t="s">
        <v>31</v>
      </c>
      <c r="O253" s="116"/>
      <c r="P253" s="115" t="s">
        <v>13</v>
      </c>
      <c r="Q253" s="115" t="s">
        <v>51</v>
      </c>
      <c r="R253" s="115" t="s">
        <v>395</v>
      </c>
      <c r="S253" s="126" t="s">
        <v>557</v>
      </c>
      <c r="T253" s="115" t="s">
        <v>50</v>
      </c>
      <c r="U253" s="115" t="s">
        <v>17</v>
      </c>
    </row>
    <row r="254" spans="1:21" s="111" customFormat="1" x14ac:dyDescent="0.25">
      <c r="A254" s="108" t="s">
        <v>54</v>
      </c>
      <c r="B254" s="109" t="s">
        <v>493</v>
      </c>
      <c r="C254" s="113" t="s">
        <v>469</v>
      </c>
      <c r="D254" s="110" t="s">
        <v>491</v>
      </c>
      <c r="E254" s="110">
        <v>5</v>
      </c>
      <c r="F254" s="110"/>
      <c r="G254" s="109" t="s">
        <v>165</v>
      </c>
      <c r="I254" s="16">
        <v>253</v>
      </c>
      <c r="J254" s="112" t="str">
        <f t="shared" si="14"/>
        <v>Опарське ВУПЗГ.ДКС ОПАРИ, КЦ 1-2 ГМК№4.Твх.ГМК.5.T</v>
      </c>
      <c r="K254" s="113" t="s">
        <v>469</v>
      </c>
      <c r="L254" s="117" t="s">
        <v>157</v>
      </c>
      <c r="M254" s="115" t="s">
        <v>7</v>
      </c>
      <c r="N254" s="115" t="s">
        <v>31</v>
      </c>
      <c r="O254" s="116"/>
      <c r="P254" s="115" t="s">
        <v>13</v>
      </c>
      <c r="Q254" s="115" t="s">
        <v>51</v>
      </c>
      <c r="R254" s="115" t="s">
        <v>395</v>
      </c>
      <c r="S254" s="116"/>
      <c r="T254" s="115" t="s">
        <v>50</v>
      </c>
      <c r="U254" s="115" t="s">
        <v>17</v>
      </c>
    </row>
    <row r="255" spans="1:21" s="111" customFormat="1" x14ac:dyDescent="0.25">
      <c r="A255" s="108" t="s">
        <v>54</v>
      </c>
      <c r="B255" s="109" t="s">
        <v>493</v>
      </c>
      <c r="C255" s="113" t="s">
        <v>470</v>
      </c>
      <c r="D255" s="110" t="s">
        <v>491</v>
      </c>
      <c r="E255" s="110">
        <v>6</v>
      </c>
      <c r="F255" s="110"/>
      <c r="G255" s="109" t="s">
        <v>165</v>
      </c>
      <c r="I255" s="16">
        <v>254</v>
      </c>
      <c r="J255" s="112" t="str">
        <f t="shared" si="14"/>
        <v>Опарське ВУПЗГ.ДКС ОПАРИ, КЦ 1-2 ГМК№4.Твих.ГМК.6.T</v>
      </c>
      <c r="K255" s="113" t="s">
        <v>470</v>
      </c>
      <c r="L255" s="117" t="s">
        <v>157</v>
      </c>
      <c r="M255" s="115" t="s">
        <v>7</v>
      </c>
      <c r="N255" s="115" t="s">
        <v>31</v>
      </c>
      <c r="O255" s="116"/>
      <c r="P255" s="115" t="s">
        <v>13</v>
      </c>
      <c r="Q255" s="115" t="s">
        <v>51</v>
      </c>
      <c r="R255" s="115" t="s">
        <v>395</v>
      </c>
      <c r="S255" s="116"/>
      <c r="T255" s="115" t="s">
        <v>50</v>
      </c>
      <c r="U255" s="115" t="s">
        <v>17</v>
      </c>
    </row>
    <row r="256" spans="1:21" s="111" customFormat="1" x14ac:dyDescent="0.25">
      <c r="A256" s="108" t="s">
        <v>54</v>
      </c>
      <c r="B256" s="109" t="s">
        <v>493</v>
      </c>
      <c r="C256" s="113" t="s">
        <v>471</v>
      </c>
      <c r="D256" s="110" t="s">
        <v>491</v>
      </c>
      <c r="E256" s="110">
        <v>7</v>
      </c>
      <c r="F256" s="110"/>
      <c r="G256" s="109" t="s">
        <v>165</v>
      </c>
      <c r="I256" s="16">
        <v>255</v>
      </c>
      <c r="J256" s="112" t="str">
        <f t="shared" si="14"/>
        <v>Опарське ВУПЗГ.ДКС ОПАРИ, КЦ 1-2 ГМК№4.Тапо.ГМК.7.T</v>
      </c>
      <c r="K256" s="113" t="s">
        <v>471</v>
      </c>
      <c r="L256" s="117" t="s">
        <v>157</v>
      </c>
      <c r="M256" s="115" t="s">
        <v>7</v>
      </c>
      <c r="N256" s="115" t="s">
        <v>31</v>
      </c>
      <c r="O256" s="116"/>
      <c r="P256" s="115" t="s">
        <v>13</v>
      </c>
      <c r="Q256" s="115" t="s">
        <v>51</v>
      </c>
      <c r="R256" s="115" t="s">
        <v>395</v>
      </c>
      <c r="S256" s="116"/>
      <c r="T256" s="115" t="s">
        <v>50</v>
      </c>
      <c r="U256" s="115" t="s">
        <v>17</v>
      </c>
    </row>
    <row r="257" spans="1:21" s="111" customFormat="1" x14ac:dyDescent="0.25">
      <c r="A257" s="108" t="s">
        <v>54</v>
      </c>
      <c r="B257" s="109" t="s">
        <v>493</v>
      </c>
      <c r="C257" s="120" t="s">
        <v>507</v>
      </c>
      <c r="D257" s="110" t="s">
        <v>491</v>
      </c>
      <c r="E257" s="110">
        <v>8</v>
      </c>
      <c r="F257" s="110"/>
      <c r="G257" s="109" t="s">
        <v>168</v>
      </c>
      <c r="I257" s="16">
        <v>256</v>
      </c>
      <c r="J257" s="112" t="str">
        <f t="shared" si="14"/>
        <v>Опарське ВУПЗГ.ДКС ОПАРИ, КЦ 1-2 ГМК№4.Перекачка.ГМК.8.Q</v>
      </c>
      <c r="K257" s="120" t="s">
        <v>507</v>
      </c>
      <c r="L257" s="20" t="s">
        <v>158</v>
      </c>
      <c r="M257" s="115" t="s">
        <v>7</v>
      </c>
      <c r="N257" s="115" t="s">
        <v>31</v>
      </c>
      <c r="O257" s="116"/>
      <c r="P257" s="115" t="s">
        <v>13</v>
      </c>
      <c r="Q257" s="115" t="s">
        <v>51</v>
      </c>
      <c r="R257" s="115" t="s">
        <v>395</v>
      </c>
      <c r="S257" s="116"/>
      <c r="T257" s="115" t="s">
        <v>50</v>
      </c>
      <c r="U257" s="115" t="s">
        <v>17</v>
      </c>
    </row>
    <row r="258" spans="1:21" s="111" customFormat="1" x14ac:dyDescent="0.25">
      <c r="A258" s="108" t="s">
        <v>54</v>
      </c>
      <c r="B258" s="110" t="s">
        <v>493</v>
      </c>
      <c r="C258" s="120" t="s">
        <v>478</v>
      </c>
      <c r="D258" s="110" t="s">
        <v>491</v>
      </c>
      <c r="E258" s="110">
        <v>9</v>
      </c>
      <c r="F258" s="110"/>
      <c r="G258" s="109" t="s">
        <v>487</v>
      </c>
      <c r="I258" s="16">
        <v>257</v>
      </c>
      <c r="J258" s="112" t="str">
        <f t="shared" si="14"/>
        <v>Опарське ВУПЗГ.ДКС ОПАРИ, КЦ 1-2 ГМК№4.Оберти.ГМК.9.об/хв</v>
      </c>
      <c r="K258" s="120" t="s">
        <v>478</v>
      </c>
      <c r="L258" s="19" t="s">
        <v>487</v>
      </c>
      <c r="M258" s="115" t="s">
        <v>7</v>
      </c>
      <c r="N258" s="115" t="s">
        <v>31</v>
      </c>
      <c r="O258" s="116"/>
      <c r="P258" s="116" t="s">
        <v>8</v>
      </c>
      <c r="Q258" s="116" t="s">
        <v>7</v>
      </c>
      <c r="R258" s="115" t="s">
        <v>395</v>
      </c>
      <c r="S258" s="116"/>
      <c r="T258" s="115" t="s">
        <v>50</v>
      </c>
      <c r="U258" s="115" t="s">
        <v>17</v>
      </c>
    </row>
    <row r="259" spans="1:21" s="111" customFormat="1" x14ac:dyDescent="0.25">
      <c r="A259" s="108" t="s">
        <v>54</v>
      </c>
      <c r="B259" s="110" t="s">
        <v>493</v>
      </c>
      <c r="C259" s="120" t="s">
        <v>479</v>
      </c>
      <c r="D259" s="110" t="s">
        <v>491</v>
      </c>
      <c r="E259" s="110"/>
      <c r="F259" s="110"/>
      <c r="G259" s="110"/>
      <c r="I259" s="16">
        <v>258</v>
      </c>
      <c r="J259" s="112" t="str">
        <f t="shared" si="14"/>
        <v>Опарське ВУПЗГ.ДКС ОПАРИ, КЦ 1-2 ГМК№4.Схема вкл.ГМК.</v>
      </c>
      <c r="K259" s="120" t="s">
        <v>479</v>
      </c>
      <c r="L259" s="116"/>
      <c r="M259" s="115" t="s">
        <v>7</v>
      </c>
      <c r="N259" s="115" t="s">
        <v>31</v>
      </c>
      <c r="O259" s="126" t="s">
        <v>172</v>
      </c>
      <c r="P259" s="116"/>
      <c r="Q259" s="116"/>
      <c r="R259" s="115"/>
      <c r="S259" s="116"/>
      <c r="T259" s="115" t="s">
        <v>50</v>
      </c>
      <c r="U259" s="114" t="s">
        <v>159</v>
      </c>
    </row>
    <row r="260" spans="1:21" s="111" customFormat="1" x14ac:dyDescent="0.25">
      <c r="A260" s="108" t="s">
        <v>54</v>
      </c>
      <c r="B260" s="110" t="s">
        <v>493</v>
      </c>
      <c r="C260" s="120" t="s">
        <v>490</v>
      </c>
      <c r="D260" s="110" t="s">
        <v>491</v>
      </c>
      <c r="E260" s="110"/>
      <c r="F260" s="110"/>
      <c r="G260" s="110"/>
      <c r="I260" s="16">
        <v>259</v>
      </c>
      <c r="J260" s="112" t="str">
        <f t="shared" si="14"/>
        <v>Опарське ВУПЗГ.ДКС ОПАРИ, КЦ 1-2 ГМК№4.Стан.ГМК.</v>
      </c>
      <c r="K260" s="120" t="s">
        <v>490</v>
      </c>
      <c r="L260" s="116"/>
      <c r="M260" s="115" t="s">
        <v>7</v>
      </c>
      <c r="N260" s="115" t="s">
        <v>31</v>
      </c>
      <c r="O260" s="116" t="s">
        <v>50</v>
      </c>
      <c r="P260" s="116"/>
      <c r="Q260" s="116"/>
      <c r="R260" s="115"/>
      <c r="S260" s="116"/>
      <c r="T260" s="115" t="s">
        <v>50</v>
      </c>
      <c r="U260" s="114" t="s">
        <v>159</v>
      </c>
    </row>
    <row r="261" spans="1:21" s="111" customFormat="1" x14ac:dyDescent="0.25">
      <c r="A261" s="108" t="s">
        <v>54</v>
      </c>
      <c r="B261" s="109" t="s">
        <v>494</v>
      </c>
      <c r="C261" s="113" t="s">
        <v>466</v>
      </c>
      <c r="D261" s="110" t="s">
        <v>491</v>
      </c>
      <c r="E261" s="110">
        <v>2</v>
      </c>
      <c r="F261" s="110"/>
      <c r="G261" s="110"/>
      <c r="I261" s="16">
        <v>260</v>
      </c>
      <c r="J261" s="112" t="str">
        <f t="shared" ref="J261:J292" si="15">CONCATENATE(IF(ISBLANK(A261),"",A261&amp;CHAR(46)), IF(ISBLANK(B261),"",B261&amp;CHAR(46)), IF(ISBLANK(C261),"",C261&amp;CHAR(46)),IF(ISBLANK(D261),"",D261&amp;CHAR(46)), IF(ISBLANK(E261),"",E261&amp;CHAR(46)),IF(ISBLANK(F261),"",F261&amp;CHAR(46)),IF(ISBLANK(G261),"",G261) )</f>
        <v>Опарське ВУПЗГ.ДКС ОПАРИ, КЦ 1-2 ГМК№6.Рвх.ГМК.2.</v>
      </c>
      <c r="K261" s="113" t="s">
        <v>466</v>
      </c>
      <c r="L261" s="114" t="s">
        <v>399</v>
      </c>
      <c r="M261" s="115" t="s">
        <v>7</v>
      </c>
      <c r="N261" s="115" t="s">
        <v>31</v>
      </c>
      <c r="O261" s="116"/>
      <c r="P261" s="115" t="s">
        <v>13</v>
      </c>
      <c r="Q261" s="115" t="s">
        <v>51</v>
      </c>
      <c r="R261" s="115" t="s">
        <v>395</v>
      </c>
      <c r="S261" s="116"/>
      <c r="T261" s="115" t="s">
        <v>50</v>
      </c>
      <c r="U261" s="115" t="s">
        <v>17</v>
      </c>
    </row>
    <row r="262" spans="1:21" s="111" customFormat="1" x14ac:dyDescent="0.25">
      <c r="A262" s="108" t="s">
        <v>54</v>
      </c>
      <c r="B262" s="109" t="s">
        <v>494</v>
      </c>
      <c r="C262" s="113" t="s">
        <v>467</v>
      </c>
      <c r="D262" s="110" t="s">
        <v>491</v>
      </c>
      <c r="E262" s="110">
        <v>3</v>
      </c>
      <c r="F262" s="110"/>
      <c r="G262" s="110"/>
      <c r="I262" s="16">
        <v>261</v>
      </c>
      <c r="J262" s="112" t="str">
        <f t="shared" si="15"/>
        <v>Опарське ВУПЗГ.ДКС ОПАРИ, КЦ 1-2 ГМК№6.Рвих.ГМК.3.</v>
      </c>
      <c r="K262" s="113" t="s">
        <v>467</v>
      </c>
      <c r="L262" s="114" t="s">
        <v>399</v>
      </c>
      <c r="M262" s="115" t="s">
        <v>7</v>
      </c>
      <c r="N262" s="115" t="s">
        <v>31</v>
      </c>
      <c r="O262" s="116"/>
      <c r="P262" s="115" t="s">
        <v>13</v>
      </c>
      <c r="Q262" s="115" t="s">
        <v>51</v>
      </c>
      <c r="R262" s="115" t="s">
        <v>395</v>
      </c>
      <c r="S262" s="116"/>
      <c r="T262" s="115" t="s">
        <v>50</v>
      </c>
      <c r="U262" s="115" t="s">
        <v>17</v>
      </c>
    </row>
    <row r="263" spans="1:21" s="111" customFormat="1" x14ac:dyDescent="0.25">
      <c r="A263" s="108" t="s">
        <v>54</v>
      </c>
      <c r="B263" s="109" t="s">
        <v>494</v>
      </c>
      <c r="C263" s="113" t="s">
        <v>485</v>
      </c>
      <c r="D263" s="110" t="s">
        <v>491</v>
      </c>
      <c r="E263" s="110">
        <v>4</v>
      </c>
      <c r="F263" s="110"/>
      <c r="G263" s="110"/>
      <c r="I263" s="16">
        <v>262</v>
      </c>
      <c r="J263" s="112" t="str">
        <f t="shared" si="15"/>
        <v>Опарське ВУПЗГ.ДКС ОПАРИ, КЦ 1-2 ГМК№6.Е.ГМК.4.</v>
      </c>
      <c r="K263" s="113" t="s">
        <v>485</v>
      </c>
      <c r="L263" s="116"/>
      <c r="M263" s="115" t="s">
        <v>7</v>
      </c>
      <c r="N263" s="115" t="s">
        <v>31</v>
      </c>
      <c r="O263" s="116"/>
      <c r="P263" s="115" t="s">
        <v>13</v>
      </c>
      <c r="Q263" s="115" t="s">
        <v>51</v>
      </c>
      <c r="R263" s="115" t="s">
        <v>395</v>
      </c>
      <c r="S263" s="126" t="s">
        <v>558</v>
      </c>
      <c r="T263" s="115" t="s">
        <v>50</v>
      </c>
      <c r="U263" s="115" t="s">
        <v>17</v>
      </c>
    </row>
    <row r="264" spans="1:21" s="111" customFormat="1" x14ac:dyDescent="0.25">
      <c r="A264" s="108" t="s">
        <v>54</v>
      </c>
      <c r="B264" s="109" t="s">
        <v>494</v>
      </c>
      <c r="C264" s="113" t="s">
        <v>469</v>
      </c>
      <c r="D264" s="110" t="s">
        <v>491</v>
      </c>
      <c r="E264" s="110">
        <v>5</v>
      </c>
      <c r="F264" s="110"/>
      <c r="G264" s="110"/>
      <c r="I264" s="16">
        <v>263</v>
      </c>
      <c r="J264" s="112" t="str">
        <f t="shared" si="15"/>
        <v>Опарське ВУПЗГ.ДКС ОПАРИ, КЦ 1-2 ГМК№6.Твх.ГМК.5.</v>
      </c>
      <c r="K264" s="113" t="s">
        <v>469</v>
      </c>
      <c r="L264" s="117" t="s">
        <v>157</v>
      </c>
      <c r="M264" s="115" t="s">
        <v>7</v>
      </c>
      <c r="N264" s="115" t="s">
        <v>31</v>
      </c>
      <c r="O264" s="116"/>
      <c r="P264" s="115" t="s">
        <v>13</v>
      </c>
      <c r="Q264" s="115" t="s">
        <v>51</v>
      </c>
      <c r="R264" s="115" t="s">
        <v>395</v>
      </c>
      <c r="S264" s="116"/>
      <c r="T264" s="115" t="s">
        <v>50</v>
      </c>
      <c r="U264" s="115" t="s">
        <v>17</v>
      </c>
    </row>
    <row r="265" spans="1:21" s="111" customFormat="1" x14ac:dyDescent="0.25">
      <c r="A265" s="108" t="s">
        <v>54</v>
      </c>
      <c r="B265" s="109" t="s">
        <v>494</v>
      </c>
      <c r="C265" s="113" t="s">
        <v>470</v>
      </c>
      <c r="D265" s="110" t="s">
        <v>491</v>
      </c>
      <c r="E265" s="110">
        <v>6</v>
      </c>
      <c r="F265" s="110"/>
      <c r="G265" s="110"/>
      <c r="I265" s="16">
        <v>264</v>
      </c>
      <c r="J265" s="112" t="str">
        <f t="shared" si="15"/>
        <v>Опарське ВУПЗГ.ДКС ОПАРИ, КЦ 1-2 ГМК№6.Твих.ГМК.6.</v>
      </c>
      <c r="K265" s="113" t="s">
        <v>470</v>
      </c>
      <c r="L265" s="117" t="s">
        <v>157</v>
      </c>
      <c r="M265" s="115" t="s">
        <v>7</v>
      </c>
      <c r="N265" s="115" t="s">
        <v>31</v>
      </c>
      <c r="O265" s="116"/>
      <c r="P265" s="115" t="s">
        <v>13</v>
      </c>
      <c r="Q265" s="115" t="s">
        <v>51</v>
      </c>
      <c r="R265" s="115" t="s">
        <v>395</v>
      </c>
      <c r="S265" s="116"/>
      <c r="T265" s="115" t="s">
        <v>50</v>
      </c>
      <c r="U265" s="115" t="s">
        <v>17</v>
      </c>
    </row>
    <row r="266" spans="1:21" s="111" customFormat="1" x14ac:dyDescent="0.25">
      <c r="A266" s="108" t="s">
        <v>54</v>
      </c>
      <c r="B266" s="109" t="s">
        <v>494</v>
      </c>
      <c r="C266" s="113" t="s">
        <v>471</v>
      </c>
      <c r="D266" s="110" t="s">
        <v>491</v>
      </c>
      <c r="E266" s="110">
        <v>7</v>
      </c>
      <c r="F266" s="110"/>
      <c r="G266" s="110"/>
      <c r="I266" s="16">
        <v>265</v>
      </c>
      <c r="J266" s="112" t="str">
        <f t="shared" si="15"/>
        <v>Опарське ВУПЗГ.ДКС ОПАРИ, КЦ 1-2 ГМК№6.Тапо.ГМК.7.</v>
      </c>
      <c r="K266" s="113" t="s">
        <v>471</v>
      </c>
      <c r="L266" s="117" t="s">
        <v>157</v>
      </c>
      <c r="M266" s="115" t="s">
        <v>7</v>
      </c>
      <c r="N266" s="115" t="s">
        <v>31</v>
      </c>
      <c r="O266" s="116"/>
      <c r="P266" s="115" t="s">
        <v>13</v>
      </c>
      <c r="Q266" s="115" t="s">
        <v>51</v>
      </c>
      <c r="R266" s="115" t="s">
        <v>395</v>
      </c>
      <c r="S266" s="116"/>
      <c r="T266" s="115" t="s">
        <v>50</v>
      </c>
      <c r="U266" s="115" t="s">
        <v>17</v>
      </c>
    </row>
    <row r="267" spans="1:21" s="111" customFormat="1" x14ac:dyDescent="0.25">
      <c r="A267" s="108" t="s">
        <v>54</v>
      </c>
      <c r="B267" s="109" t="s">
        <v>494</v>
      </c>
      <c r="C267" s="120" t="s">
        <v>507</v>
      </c>
      <c r="D267" s="110" t="s">
        <v>491</v>
      </c>
      <c r="E267" s="110">
        <v>8</v>
      </c>
      <c r="F267" s="110"/>
      <c r="G267" s="110"/>
      <c r="I267" s="16">
        <v>266</v>
      </c>
      <c r="J267" s="112" t="str">
        <f t="shared" si="15"/>
        <v>Опарське ВУПЗГ.ДКС ОПАРИ, КЦ 1-2 ГМК№6.Перекачка.ГМК.8.</v>
      </c>
      <c r="K267" s="120" t="s">
        <v>507</v>
      </c>
      <c r="L267" s="20" t="s">
        <v>158</v>
      </c>
      <c r="M267" s="115" t="s">
        <v>7</v>
      </c>
      <c r="N267" s="115" t="s">
        <v>31</v>
      </c>
      <c r="O267" s="116"/>
      <c r="P267" s="115" t="s">
        <v>13</v>
      </c>
      <c r="Q267" s="115" t="s">
        <v>51</v>
      </c>
      <c r="R267" s="115" t="s">
        <v>395</v>
      </c>
      <c r="S267" s="116"/>
      <c r="T267" s="115" t="s">
        <v>50</v>
      </c>
      <c r="U267" s="115" t="s">
        <v>17</v>
      </c>
    </row>
    <row r="268" spans="1:21" s="111" customFormat="1" x14ac:dyDescent="0.25">
      <c r="A268" s="108" t="s">
        <v>54</v>
      </c>
      <c r="B268" s="110" t="s">
        <v>494</v>
      </c>
      <c r="C268" s="120" t="s">
        <v>478</v>
      </c>
      <c r="D268" s="110" t="s">
        <v>491</v>
      </c>
      <c r="E268" s="110">
        <v>9</v>
      </c>
      <c r="F268" s="110"/>
      <c r="G268" s="110"/>
      <c r="I268" s="16">
        <v>267</v>
      </c>
      <c r="J268" s="112" t="str">
        <f t="shared" si="15"/>
        <v>Опарське ВУПЗГ.ДКС ОПАРИ, КЦ 1-2 ГМК№6.Оберти.ГМК.9.</v>
      </c>
      <c r="K268" s="120" t="s">
        <v>478</v>
      </c>
      <c r="L268" s="19" t="s">
        <v>487</v>
      </c>
      <c r="M268" s="115" t="s">
        <v>7</v>
      </c>
      <c r="N268" s="115" t="s">
        <v>31</v>
      </c>
      <c r="O268" s="116"/>
      <c r="P268" s="116" t="s">
        <v>8</v>
      </c>
      <c r="Q268" s="116" t="s">
        <v>7</v>
      </c>
      <c r="R268" s="115" t="s">
        <v>395</v>
      </c>
      <c r="S268" s="116"/>
      <c r="T268" s="115" t="s">
        <v>50</v>
      </c>
      <c r="U268" s="115" t="s">
        <v>17</v>
      </c>
    </row>
    <row r="269" spans="1:21" s="111" customFormat="1" x14ac:dyDescent="0.25">
      <c r="A269" s="108" t="s">
        <v>54</v>
      </c>
      <c r="B269" s="110" t="s">
        <v>494</v>
      </c>
      <c r="C269" s="120" t="s">
        <v>479</v>
      </c>
      <c r="D269" s="110" t="s">
        <v>491</v>
      </c>
      <c r="E269" s="110"/>
      <c r="F269" s="110"/>
      <c r="G269" s="110"/>
      <c r="I269" s="16">
        <v>268</v>
      </c>
      <c r="J269" s="112" t="str">
        <f t="shared" si="15"/>
        <v>Опарське ВУПЗГ.ДКС ОПАРИ, КЦ 1-2 ГМК№6.Схема вкл.ГМК.</v>
      </c>
      <c r="K269" s="120" t="s">
        <v>479</v>
      </c>
      <c r="L269" s="116"/>
      <c r="M269" s="115" t="s">
        <v>7</v>
      </c>
      <c r="N269" s="115" t="s">
        <v>31</v>
      </c>
      <c r="O269" s="126" t="s">
        <v>172</v>
      </c>
      <c r="P269" s="116"/>
      <c r="Q269" s="116"/>
      <c r="R269" s="115"/>
      <c r="S269" s="116"/>
      <c r="T269" s="115" t="s">
        <v>50</v>
      </c>
      <c r="U269" s="114" t="s">
        <v>159</v>
      </c>
    </row>
    <row r="270" spans="1:21" s="111" customFormat="1" x14ac:dyDescent="0.25">
      <c r="A270" s="108" t="s">
        <v>54</v>
      </c>
      <c r="B270" s="110" t="s">
        <v>494</v>
      </c>
      <c r="C270" s="120" t="s">
        <v>490</v>
      </c>
      <c r="D270" s="110" t="s">
        <v>491</v>
      </c>
      <c r="E270" s="110"/>
      <c r="F270" s="110"/>
      <c r="G270" s="110"/>
      <c r="I270" s="16">
        <v>269</v>
      </c>
      <c r="J270" s="112" t="str">
        <f t="shared" si="15"/>
        <v>Опарське ВУПЗГ.ДКС ОПАРИ, КЦ 1-2 ГМК№6.Стан.ГМК.</v>
      </c>
      <c r="K270" s="120" t="s">
        <v>490</v>
      </c>
      <c r="L270" s="116"/>
      <c r="M270" s="115" t="s">
        <v>7</v>
      </c>
      <c r="N270" s="115" t="s">
        <v>31</v>
      </c>
      <c r="O270" s="116" t="s">
        <v>50</v>
      </c>
      <c r="P270" s="116"/>
      <c r="Q270" s="116"/>
      <c r="R270" s="115"/>
      <c r="S270" s="116"/>
      <c r="T270" s="115" t="s">
        <v>50</v>
      </c>
      <c r="U270" s="114" t="s">
        <v>159</v>
      </c>
    </row>
    <row r="271" spans="1:21" s="111" customFormat="1" x14ac:dyDescent="0.25">
      <c r="A271" s="108" t="s">
        <v>54</v>
      </c>
      <c r="B271" s="109" t="s">
        <v>495</v>
      </c>
      <c r="C271" s="113" t="s">
        <v>466</v>
      </c>
      <c r="D271" s="110" t="s">
        <v>491</v>
      </c>
      <c r="E271" s="110">
        <v>2</v>
      </c>
      <c r="F271" s="110"/>
      <c r="G271" s="109" t="s">
        <v>333</v>
      </c>
      <c r="I271" s="16">
        <v>270</v>
      </c>
      <c r="J271" s="112" t="str">
        <f t="shared" si="15"/>
        <v>Опарське ВУПЗГ.ДКС ОПАРИ, КЦ 1-2 ГМК№8.Рвх.ГМК.2.P</v>
      </c>
      <c r="K271" s="113" t="s">
        <v>466</v>
      </c>
      <c r="L271" s="114" t="s">
        <v>399</v>
      </c>
      <c r="M271" s="115" t="s">
        <v>7</v>
      </c>
      <c r="N271" s="115" t="s">
        <v>31</v>
      </c>
      <c r="O271" s="116"/>
      <c r="P271" s="115" t="s">
        <v>13</v>
      </c>
      <c r="Q271" s="115" t="s">
        <v>51</v>
      </c>
      <c r="R271" s="115" t="s">
        <v>395</v>
      </c>
      <c r="S271" s="116"/>
      <c r="T271" s="115" t="s">
        <v>50</v>
      </c>
      <c r="U271" s="115" t="s">
        <v>17</v>
      </c>
    </row>
    <row r="272" spans="1:21" s="111" customFormat="1" x14ac:dyDescent="0.25">
      <c r="A272" s="108" t="s">
        <v>54</v>
      </c>
      <c r="B272" s="109" t="s">
        <v>495</v>
      </c>
      <c r="C272" s="113" t="s">
        <v>467</v>
      </c>
      <c r="D272" s="110" t="s">
        <v>491</v>
      </c>
      <c r="E272" s="110">
        <v>3</v>
      </c>
      <c r="F272" s="110"/>
      <c r="G272" s="109" t="s">
        <v>333</v>
      </c>
      <c r="I272" s="16">
        <v>271</v>
      </c>
      <c r="J272" s="112" t="str">
        <f t="shared" si="15"/>
        <v>Опарське ВУПЗГ.ДКС ОПАРИ, КЦ 1-2 ГМК№8.Рвих.ГМК.3.P</v>
      </c>
      <c r="K272" s="113" t="s">
        <v>467</v>
      </c>
      <c r="L272" s="114" t="s">
        <v>399</v>
      </c>
      <c r="M272" s="115" t="s">
        <v>7</v>
      </c>
      <c r="N272" s="115" t="s">
        <v>31</v>
      </c>
      <c r="O272" s="116"/>
      <c r="P272" s="115" t="s">
        <v>13</v>
      </c>
      <c r="Q272" s="115" t="s">
        <v>51</v>
      </c>
      <c r="R272" s="115" t="s">
        <v>395</v>
      </c>
      <c r="S272" s="116"/>
      <c r="T272" s="115" t="s">
        <v>50</v>
      </c>
      <c r="U272" s="115" t="s">
        <v>17</v>
      </c>
    </row>
    <row r="273" spans="1:21" s="111" customFormat="1" x14ac:dyDescent="0.25">
      <c r="A273" s="108" t="s">
        <v>54</v>
      </c>
      <c r="B273" s="109" t="s">
        <v>495</v>
      </c>
      <c r="C273" s="113" t="s">
        <v>485</v>
      </c>
      <c r="D273" s="110" t="s">
        <v>491</v>
      </c>
      <c r="E273" s="110">
        <v>4</v>
      </c>
      <c r="F273" s="110"/>
      <c r="G273" s="109"/>
      <c r="I273" s="16">
        <v>272</v>
      </c>
      <c r="J273" s="112" t="str">
        <f t="shared" si="15"/>
        <v>Опарське ВУПЗГ.ДКС ОПАРИ, КЦ 1-2 ГМК№8.Е.ГМК.4.</v>
      </c>
      <c r="K273" s="113" t="s">
        <v>485</v>
      </c>
      <c r="L273" s="116"/>
      <c r="M273" s="115" t="s">
        <v>7</v>
      </c>
      <c r="N273" s="115" t="s">
        <v>31</v>
      </c>
      <c r="O273" s="116"/>
      <c r="P273" s="115" t="s">
        <v>13</v>
      </c>
      <c r="Q273" s="115" t="s">
        <v>51</v>
      </c>
      <c r="R273" s="115" t="s">
        <v>395</v>
      </c>
      <c r="S273" s="126" t="s">
        <v>559</v>
      </c>
      <c r="T273" s="115" t="s">
        <v>50</v>
      </c>
      <c r="U273" s="115" t="s">
        <v>17</v>
      </c>
    </row>
    <row r="274" spans="1:21" s="111" customFormat="1" x14ac:dyDescent="0.25">
      <c r="A274" s="108" t="s">
        <v>54</v>
      </c>
      <c r="B274" s="109" t="s">
        <v>495</v>
      </c>
      <c r="C274" s="113" t="s">
        <v>469</v>
      </c>
      <c r="D274" s="110" t="s">
        <v>491</v>
      </c>
      <c r="E274" s="110">
        <v>5</v>
      </c>
      <c r="F274" s="110"/>
      <c r="G274" s="109" t="s">
        <v>165</v>
      </c>
      <c r="I274" s="16">
        <v>273</v>
      </c>
      <c r="J274" s="112" t="str">
        <f t="shared" si="15"/>
        <v>Опарське ВУПЗГ.ДКС ОПАРИ, КЦ 1-2 ГМК№8.Твх.ГМК.5.T</v>
      </c>
      <c r="K274" s="113" t="s">
        <v>469</v>
      </c>
      <c r="L274" s="117" t="s">
        <v>157</v>
      </c>
      <c r="M274" s="115" t="s">
        <v>7</v>
      </c>
      <c r="N274" s="115" t="s">
        <v>31</v>
      </c>
      <c r="O274" s="116"/>
      <c r="P274" s="115" t="s">
        <v>13</v>
      </c>
      <c r="Q274" s="115" t="s">
        <v>51</v>
      </c>
      <c r="R274" s="115" t="s">
        <v>395</v>
      </c>
      <c r="S274" s="116"/>
      <c r="T274" s="115" t="s">
        <v>50</v>
      </c>
      <c r="U274" s="115" t="s">
        <v>17</v>
      </c>
    </row>
    <row r="275" spans="1:21" s="111" customFormat="1" x14ac:dyDescent="0.25">
      <c r="A275" s="108" t="s">
        <v>54</v>
      </c>
      <c r="B275" s="109" t="s">
        <v>495</v>
      </c>
      <c r="C275" s="113" t="s">
        <v>470</v>
      </c>
      <c r="D275" s="110" t="s">
        <v>491</v>
      </c>
      <c r="E275" s="110">
        <v>6</v>
      </c>
      <c r="F275" s="110"/>
      <c r="G275" s="109" t="s">
        <v>165</v>
      </c>
      <c r="I275" s="16">
        <v>274</v>
      </c>
      <c r="J275" s="112" t="str">
        <f t="shared" si="15"/>
        <v>Опарське ВУПЗГ.ДКС ОПАРИ, КЦ 1-2 ГМК№8.Твих.ГМК.6.T</v>
      </c>
      <c r="K275" s="113" t="s">
        <v>470</v>
      </c>
      <c r="L275" s="117" t="s">
        <v>157</v>
      </c>
      <c r="M275" s="115" t="s">
        <v>7</v>
      </c>
      <c r="N275" s="115" t="s">
        <v>31</v>
      </c>
      <c r="O275" s="116"/>
      <c r="P275" s="115" t="s">
        <v>13</v>
      </c>
      <c r="Q275" s="115" t="s">
        <v>51</v>
      </c>
      <c r="R275" s="115" t="s">
        <v>395</v>
      </c>
      <c r="S275" s="116"/>
      <c r="T275" s="115" t="s">
        <v>50</v>
      </c>
      <c r="U275" s="115" t="s">
        <v>17</v>
      </c>
    </row>
    <row r="276" spans="1:21" s="111" customFormat="1" x14ac:dyDescent="0.25">
      <c r="A276" s="108" t="s">
        <v>54</v>
      </c>
      <c r="B276" s="109" t="s">
        <v>495</v>
      </c>
      <c r="C276" s="113" t="s">
        <v>471</v>
      </c>
      <c r="D276" s="110" t="s">
        <v>491</v>
      </c>
      <c r="E276" s="110">
        <v>7</v>
      </c>
      <c r="F276" s="110"/>
      <c r="G276" s="109" t="s">
        <v>165</v>
      </c>
      <c r="I276" s="16">
        <v>275</v>
      </c>
      <c r="J276" s="112" t="str">
        <f t="shared" si="15"/>
        <v>Опарське ВУПЗГ.ДКС ОПАРИ, КЦ 1-2 ГМК№8.Тапо.ГМК.7.T</v>
      </c>
      <c r="K276" s="113" t="s">
        <v>471</v>
      </c>
      <c r="L276" s="117" t="s">
        <v>157</v>
      </c>
      <c r="M276" s="115" t="s">
        <v>7</v>
      </c>
      <c r="N276" s="115" t="s">
        <v>31</v>
      </c>
      <c r="O276" s="116"/>
      <c r="P276" s="115" t="s">
        <v>13</v>
      </c>
      <c r="Q276" s="115" t="s">
        <v>51</v>
      </c>
      <c r="R276" s="115" t="s">
        <v>395</v>
      </c>
      <c r="S276" s="116"/>
      <c r="T276" s="115" t="s">
        <v>50</v>
      </c>
      <c r="U276" s="115" t="s">
        <v>17</v>
      </c>
    </row>
    <row r="277" spans="1:21" s="111" customFormat="1" x14ac:dyDescent="0.25">
      <c r="A277" s="108" t="s">
        <v>54</v>
      </c>
      <c r="B277" s="109" t="s">
        <v>495</v>
      </c>
      <c r="C277" s="120" t="s">
        <v>507</v>
      </c>
      <c r="D277" s="110" t="s">
        <v>491</v>
      </c>
      <c r="E277" s="110">
        <v>8</v>
      </c>
      <c r="F277" s="110"/>
      <c r="G277" s="109" t="s">
        <v>168</v>
      </c>
      <c r="I277" s="16">
        <v>276</v>
      </c>
      <c r="J277" s="112" t="str">
        <f t="shared" si="15"/>
        <v>Опарське ВУПЗГ.ДКС ОПАРИ, КЦ 1-2 ГМК№8.Перекачка.ГМК.8.Q</v>
      </c>
      <c r="K277" s="120" t="s">
        <v>507</v>
      </c>
      <c r="L277" s="20" t="s">
        <v>158</v>
      </c>
      <c r="M277" s="115" t="s">
        <v>7</v>
      </c>
      <c r="N277" s="115" t="s">
        <v>31</v>
      </c>
      <c r="O277" s="116"/>
      <c r="P277" s="115" t="s">
        <v>13</v>
      </c>
      <c r="Q277" s="115" t="s">
        <v>51</v>
      </c>
      <c r="R277" s="115" t="s">
        <v>395</v>
      </c>
      <c r="S277" s="116"/>
      <c r="T277" s="115" t="s">
        <v>50</v>
      </c>
      <c r="U277" s="115" t="s">
        <v>17</v>
      </c>
    </row>
    <row r="278" spans="1:21" s="111" customFormat="1" x14ac:dyDescent="0.25">
      <c r="A278" s="108" t="s">
        <v>54</v>
      </c>
      <c r="B278" s="110" t="s">
        <v>495</v>
      </c>
      <c r="C278" s="120" t="s">
        <v>478</v>
      </c>
      <c r="D278" s="110" t="s">
        <v>491</v>
      </c>
      <c r="E278" s="110">
        <v>9</v>
      </c>
      <c r="F278" s="110"/>
      <c r="G278" s="109" t="s">
        <v>487</v>
      </c>
      <c r="I278" s="16">
        <v>277</v>
      </c>
      <c r="J278" s="112" t="str">
        <f t="shared" si="15"/>
        <v>Опарське ВУПЗГ.ДКС ОПАРИ, КЦ 1-2 ГМК№8.Оберти.ГМК.9.об/хв</v>
      </c>
      <c r="K278" s="120" t="s">
        <v>478</v>
      </c>
      <c r="L278" s="19" t="s">
        <v>487</v>
      </c>
      <c r="M278" s="115" t="s">
        <v>7</v>
      </c>
      <c r="N278" s="115" t="s">
        <v>31</v>
      </c>
      <c r="O278" s="116"/>
      <c r="P278" s="116" t="s">
        <v>8</v>
      </c>
      <c r="Q278" s="116" t="s">
        <v>7</v>
      </c>
      <c r="R278" s="115" t="s">
        <v>395</v>
      </c>
      <c r="S278" s="116"/>
      <c r="T278" s="115" t="s">
        <v>50</v>
      </c>
      <c r="U278" s="115" t="s">
        <v>17</v>
      </c>
    </row>
    <row r="279" spans="1:21" s="111" customFormat="1" x14ac:dyDescent="0.25">
      <c r="A279" s="108" t="s">
        <v>54</v>
      </c>
      <c r="B279" s="110" t="s">
        <v>495</v>
      </c>
      <c r="C279" s="120" t="s">
        <v>479</v>
      </c>
      <c r="D279" s="110" t="s">
        <v>491</v>
      </c>
      <c r="E279" s="110"/>
      <c r="F279" s="110"/>
      <c r="G279" s="110"/>
      <c r="I279" s="16">
        <v>278</v>
      </c>
      <c r="J279" s="112" t="str">
        <f t="shared" si="15"/>
        <v>Опарське ВУПЗГ.ДКС ОПАРИ, КЦ 1-2 ГМК№8.Схема вкл.ГМК.</v>
      </c>
      <c r="K279" s="120" t="s">
        <v>479</v>
      </c>
      <c r="L279" s="116"/>
      <c r="M279" s="115" t="s">
        <v>7</v>
      </c>
      <c r="N279" s="115" t="s">
        <v>31</v>
      </c>
      <c r="O279" s="126" t="s">
        <v>172</v>
      </c>
      <c r="P279" s="116"/>
      <c r="Q279" s="116"/>
      <c r="R279" s="115"/>
      <c r="S279" s="116"/>
      <c r="T279" s="115" t="s">
        <v>50</v>
      </c>
      <c r="U279" s="114" t="s">
        <v>159</v>
      </c>
    </row>
    <row r="280" spans="1:21" s="111" customFormat="1" x14ac:dyDescent="0.25">
      <c r="A280" s="108" t="s">
        <v>54</v>
      </c>
      <c r="B280" s="110" t="s">
        <v>495</v>
      </c>
      <c r="C280" s="120" t="s">
        <v>490</v>
      </c>
      <c r="D280" s="110" t="s">
        <v>491</v>
      </c>
      <c r="E280" s="110"/>
      <c r="F280" s="110"/>
      <c r="G280" s="110"/>
      <c r="I280" s="16">
        <v>279</v>
      </c>
      <c r="J280" s="112" t="str">
        <f t="shared" si="15"/>
        <v>Опарське ВУПЗГ.ДКС ОПАРИ, КЦ 1-2 ГМК№8.Стан.ГМК.</v>
      </c>
      <c r="K280" s="120" t="s">
        <v>490</v>
      </c>
      <c r="L280" s="116"/>
      <c r="M280" s="115" t="s">
        <v>7</v>
      </c>
      <c r="N280" s="115" t="s">
        <v>31</v>
      </c>
      <c r="O280" s="116" t="s">
        <v>50</v>
      </c>
      <c r="P280" s="116"/>
      <c r="Q280" s="116"/>
      <c r="R280" s="115"/>
      <c r="S280" s="116"/>
      <c r="T280" s="115" t="s">
        <v>50</v>
      </c>
      <c r="U280" s="114" t="s">
        <v>159</v>
      </c>
    </row>
    <row r="281" spans="1:21" s="111" customFormat="1" x14ac:dyDescent="0.25">
      <c r="A281" s="108" t="s">
        <v>54</v>
      </c>
      <c r="B281" s="109" t="s">
        <v>496</v>
      </c>
      <c r="C281" s="113" t="s">
        <v>466</v>
      </c>
      <c r="D281" s="110" t="s">
        <v>491</v>
      </c>
      <c r="E281" s="110">
        <v>2</v>
      </c>
      <c r="F281" s="110"/>
      <c r="G281" s="109" t="s">
        <v>333</v>
      </c>
      <c r="I281" s="16">
        <v>280</v>
      </c>
      <c r="J281" s="112" t="str">
        <f t="shared" si="15"/>
        <v>Опарське ВУПЗГ.ДКС ОПАРИ, КЦ 1-2 ГМК№9.Рвх.ГМК.2.P</v>
      </c>
      <c r="K281" s="113" t="s">
        <v>466</v>
      </c>
      <c r="L281" s="114" t="s">
        <v>399</v>
      </c>
      <c r="M281" s="115" t="s">
        <v>7</v>
      </c>
      <c r="N281" s="115" t="s">
        <v>31</v>
      </c>
      <c r="O281" s="116"/>
      <c r="P281" s="115" t="s">
        <v>13</v>
      </c>
      <c r="Q281" s="115" t="s">
        <v>51</v>
      </c>
      <c r="R281" s="115" t="s">
        <v>395</v>
      </c>
      <c r="S281" s="116"/>
      <c r="T281" s="115" t="s">
        <v>50</v>
      </c>
      <c r="U281" s="115" t="s">
        <v>17</v>
      </c>
    </row>
    <row r="282" spans="1:21" s="111" customFormat="1" x14ac:dyDescent="0.25">
      <c r="A282" s="108" t="s">
        <v>54</v>
      </c>
      <c r="B282" s="109" t="s">
        <v>496</v>
      </c>
      <c r="C282" s="113" t="s">
        <v>467</v>
      </c>
      <c r="D282" s="110" t="s">
        <v>491</v>
      </c>
      <c r="E282" s="110">
        <v>3</v>
      </c>
      <c r="F282" s="110"/>
      <c r="G282" s="109" t="s">
        <v>333</v>
      </c>
      <c r="I282" s="16">
        <v>281</v>
      </c>
      <c r="J282" s="112" t="str">
        <f t="shared" si="15"/>
        <v>Опарське ВУПЗГ.ДКС ОПАРИ, КЦ 1-2 ГМК№9.Рвих.ГМК.3.P</v>
      </c>
      <c r="K282" s="113" t="s">
        <v>467</v>
      </c>
      <c r="L282" s="114" t="s">
        <v>399</v>
      </c>
      <c r="M282" s="115" t="s">
        <v>7</v>
      </c>
      <c r="N282" s="115" t="s">
        <v>31</v>
      </c>
      <c r="O282" s="116"/>
      <c r="P282" s="115" t="s">
        <v>13</v>
      </c>
      <c r="Q282" s="115" t="s">
        <v>51</v>
      </c>
      <c r="R282" s="115" t="s">
        <v>395</v>
      </c>
      <c r="S282" s="116"/>
      <c r="T282" s="115" t="s">
        <v>50</v>
      </c>
      <c r="U282" s="115" t="s">
        <v>17</v>
      </c>
    </row>
    <row r="283" spans="1:21" s="111" customFormat="1" x14ac:dyDescent="0.25">
      <c r="A283" s="108" t="s">
        <v>54</v>
      </c>
      <c r="B283" s="109" t="s">
        <v>496</v>
      </c>
      <c r="C283" s="113" t="s">
        <v>485</v>
      </c>
      <c r="D283" s="110" t="s">
        <v>491</v>
      </c>
      <c r="E283" s="110">
        <v>4</v>
      </c>
      <c r="F283" s="110"/>
      <c r="G283" s="109"/>
      <c r="I283" s="16">
        <v>282</v>
      </c>
      <c r="J283" s="112" t="str">
        <f t="shared" si="15"/>
        <v>Опарське ВУПЗГ.ДКС ОПАРИ, КЦ 1-2 ГМК№9.Е.ГМК.4.</v>
      </c>
      <c r="K283" s="113" t="s">
        <v>485</v>
      </c>
      <c r="L283" s="116"/>
      <c r="M283" s="115" t="s">
        <v>7</v>
      </c>
      <c r="N283" s="115" t="s">
        <v>31</v>
      </c>
      <c r="O283" s="116"/>
      <c r="P283" s="115" t="s">
        <v>13</v>
      </c>
      <c r="Q283" s="115" t="s">
        <v>51</v>
      </c>
      <c r="R283" s="115" t="s">
        <v>395</v>
      </c>
      <c r="S283" s="126" t="s">
        <v>560</v>
      </c>
      <c r="T283" s="115" t="s">
        <v>50</v>
      </c>
      <c r="U283" s="115" t="s">
        <v>17</v>
      </c>
    </row>
    <row r="284" spans="1:21" s="111" customFormat="1" x14ac:dyDescent="0.25">
      <c r="A284" s="108" t="s">
        <v>54</v>
      </c>
      <c r="B284" s="109" t="s">
        <v>496</v>
      </c>
      <c r="C284" s="113" t="s">
        <v>469</v>
      </c>
      <c r="D284" s="110" t="s">
        <v>491</v>
      </c>
      <c r="E284" s="110">
        <v>5</v>
      </c>
      <c r="F284" s="110"/>
      <c r="G284" s="109" t="s">
        <v>165</v>
      </c>
      <c r="I284" s="16">
        <v>283</v>
      </c>
      <c r="J284" s="112" t="str">
        <f t="shared" si="15"/>
        <v>Опарське ВУПЗГ.ДКС ОПАРИ, КЦ 1-2 ГМК№9.Твх.ГМК.5.T</v>
      </c>
      <c r="K284" s="113" t="s">
        <v>469</v>
      </c>
      <c r="L284" s="117" t="s">
        <v>157</v>
      </c>
      <c r="M284" s="115" t="s">
        <v>7</v>
      </c>
      <c r="N284" s="115" t="s">
        <v>31</v>
      </c>
      <c r="O284" s="116"/>
      <c r="P284" s="115" t="s">
        <v>13</v>
      </c>
      <c r="Q284" s="115" t="s">
        <v>51</v>
      </c>
      <c r="R284" s="115" t="s">
        <v>395</v>
      </c>
      <c r="S284" s="116"/>
      <c r="T284" s="115" t="s">
        <v>50</v>
      </c>
      <c r="U284" s="115" t="s">
        <v>17</v>
      </c>
    </row>
    <row r="285" spans="1:21" s="111" customFormat="1" x14ac:dyDescent="0.25">
      <c r="A285" s="108" t="s">
        <v>54</v>
      </c>
      <c r="B285" s="109" t="s">
        <v>496</v>
      </c>
      <c r="C285" s="113" t="s">
        <v>470</v>
      </c>
      <c r="D285" s="110" t="s">
        <v>491</v>
      </c>
      <c r="E285" s="110">
        <v>6</v>
      </c>
      <c r="F285" s="110"/>
      <c r="G285" s="109" t="s">
        <v>165</v>
      </c>
      <c r="I285" s="16">
        <v>284</v>
      </c>
      <c r="J285" s="112" t="str">
        <f t="shared" si="15"/>
        <v>Опарське ВУПЗГ.ДКС ОПАРИ, КЦ 1-2 ГМК№9.Твих.ГМК.6.T</v>
      </c>
      <c r="K285" s="113" t="s">
        <v>470</v>
      </c>
      <c r="L285" s="117" t="s">
        <v>157</v>
      </c>
      <c r="M285" s="115" t="s">
        <v>7</v>
      </c>
      <c r="N285" s="115" t="s">
        <v>31</v>
      </c>
      <c r="O285" s="116"/>
      <c r="P285" s="115" t="s">
        <v>13</v>
      </c>
      <c r="Q285" s="115" t="s">
        <v>51</v>
      </c>
      <c r="R285" s="115" t="s">
        <v>395</v>
      </c>
      <c r="S285" s="116"/>
      <c r="T285" s="115" t="s">
        <v>50</v>
      </c>
      <c r="U285" s="115" t="s">
        <v>17</v>
      </c>
    </row>
    <row r="286" spans="1:21" s="111" customFormat="1" x14ac:dyDescent="0.25">
      <c r="A286" s="108" t="s">
        <v>54</v>
      </c>
      <c r="B286" s="109" t="s">
        <v>496</v>
      </c>
      <c r="C286" s="113" t="s">
        <v>471</v>
      </c>
      <c r="D286" s="110" t="s">
        <v>491</v>
      </c>
      <c r="E286" s="110">
        <v>7</v>
      </c>
      <c r="F286" s="110"/>
      <c r="G286" s="109" t="s">
        <v>165</v>
      </c>
      <c r="I286" s="16">
        <v>285</v>
      </c>
      <c r="J286" s="112" t="str">
        <f t="shared" si="15"/>
        <v>Опарське ВУПЗГ.ДКС ОПАРИ, КЦ 1-2 ГМК№9.Тапо.ГМК.7.T</v>
      </c>
      <c r="K286" s="113" t="s">
        <v>471</v>
      </c>
      <c r="L286" s="117" t="s">
        <v>157</v>
      </c>
      <c r="M286" s="115" t="s">
        <v>7</v>
      </c>
      <c r="N286" s="115" t="s">
        <v>31</v>
      </c>
      <c r="O286" s="116"/>
      <c r="P286" s="115" t="s">
        <v>13</v>
      </c>
      <c r="Q286" s="115" t="s">
        <v>51</v>
      </c>
      <c r="R286" s="115" t="s">
        <v>395</v>
      </c>
      <c r="S286" s="116"/>
      <c r="T286" s="115" t="s">
        <v>50</v>
      </c>
      <c r="U286" s="115" t="s">
        <v>17</v>
      </c>
    </row>
    <row r="287" spans="1:21" s="111" customFormat="1" x14ac:dyDescent="0.25">
      <c r="A287" s="108" t="s">
        <v>54</v>
      </c>
      <c r="B287" s="109" t="s">
        <v>496</v>
      </c>
      <c r="C287" s="120" t="s">
        <v>507</v>
      </c>
      <c r="D287" s="110" t="s">
        <v>491</v>
      </c>
      <c r="E287" s="110">
        <v>8</v>
      </c>
      <c r="F287" s="110"/>
      <c r="G287" s="109" t="s">
        <v>168</v>
      </c>
      <c r="I287" s="16">
        <v>286</v>
      </c>
      <c r="J287" s="112" t="str">
        <f t="shared" si="15"/>
        <v>Опарське ВУПЗГ.ДКС ОПАРИ, КЦ 1-2 ГМК№9.Перекачка.ГМК.8.Q</v>
      </c>
      <c r="K287" s="120" t="s">
        <v>507</v>
      </c>
      <c r="L287" s="20" t="s">
        <v>158</v>
      </c>
      <c r="M287" s="115" t="s">
        <v>7</v>
      </c>
      <c r="N287" s="115" t="s">
        <v>31</v>
      </c>
      <c r="O287" s="116"/>
      <c r="P287" s="115" t="s">
        <v>13</v>
      </c>
      <c r="Q287" s="115" t="s">
        <v>51</v>
      </c>
      <c r="R287" s="115" t="s">
        <v>395</v>
      </c>
      <c r="S287" s="116"/>
      <c r="T287" s="115" t="s">
        <v>50</v>
      </c>
      <c r="U287" s="115" t="s">
        <v>17</v>
      </c>
    </row>
    <row r="288" spans="1:21" s="111" customFormat="1" x14ac:dyDescent="0.25">
      <c r="A288" s="108" t="s">
        <v>54</v>
      </c>
      <c r="B288" s="110" t="s">
        <v>496</v>
      </c>
      <c r="C288" s="120" t="s">
        <v>478</v>
      </c>
      <c r="D288" s="110" t="s">
        <v>491</v>
      </c>
      <c r="E288" s="110">
        <v>9</v>
      </c>
      <c r="F288" s="110"/>
      <c r="G288" s="109" t="s">
        <v>487</v>
      </c>
      <c r="I288" s="16">
        <v>287</v>
      </c>
      <c r="J288" s="112" t="str">
        <f t="shared" si="15"/>
        <v>Опарське ВУПЗГ.ДКС ОПАРИ, КЦ 1-2 ГМК№9.Оберти.ГМК.9.об/хв</v>
      </c>
      <c r="K288" s="120" t="s">
        <v>478</v>
      </c>
      <c r="L288" s="19" t="s">
        <v>487</v>
      </c>
      <c r="M288" s="115" t="s">
        <v>7</v>
      </c>
      <c r="N288" s="115" t="s">
        <v>31</v>
      </c>
      <c r="O288" s="116"/>
      <c r="P288" s="116" t="s">
        <v>8</v>
      </c>
      <c r="Q288" s="116" t="s">
        <v>7</v>
      </c>
      <c r="R288" s="115" t="s">
        <v>395</v>
      </c>
      <c r="S288" s="116"/>
      <c r="T288" s="115" t="s">
        <v>50</v>
      </c>
      <c r="U288" s="115" t="s">
        <v>17</v>
      </c>
    </row>
    <row r="289" spans="1:21" s="111" customFormat="1" x14ac:dyDescent="0.25">
      <c r="A289" s="108" t="s">
        <v>54</v>
      </c>
      <c r="B289" s="110" t="s">
        <v>496</v>
      </c>
      <c r="C289" s="120" t="s">
        <v>479</v>
      </c>
      <c r="D289" s="110" t="s">
        <v>491</v>
      </c>
      <c r="E289" s="110"/>
      <c r="F289" s="110"/>
      <c r="G289" s="110"/>
      <c r="I289" s="16">
        <v>288</v>
      </c>
      <c r="J289" s="112" t="str">
        <f t="shared" si="15"/>
        <v>Опарське ВУПЗГ.ДКС ОПАРИ, КЦ 1-2 ГМК№9.Схема вкл.ГМК.</v>
      </c>
      <c r="K289" s="120" t="s">
        <v>479</v>
      </c>
      <c r="L289" s="116"/>
      <c r="M289" s="115" t="s">
        <v>7</v>
      </c>
      <c r="N289" s="115" t="s">
        <v>31</v>
      </c>
      <c r="O289" s="126" t="s">
        <v>172</v>
      </c>
      <c r="P289" s="116"/>
      <c r="Q289" s="116"/>
      <c r="R289" s="115"/>
      <c r="S289" s="116"/>
      <c r="T289" s="115" t="s">
        <v>50</v>
      </c>
      <c r="U289" s="114" t="s">
        <v>159</v>
      </c>
    </row>
    <row r="290" spans="1:21" s="111" customFormat="1" x14ac:dyDescent="0.25">
      <c r="A290" s="108" t="s">
        <v>54</v>
      </c>
      <c r="B290" s="110" t="s">
        <v>496</v>
      </c>
      <c r="C290" s="120" t="s">
        <v>490</v>
      </c>
      <c r="D290" s="110" t="s">
        <v>491</v>
      </c>
      <c r="E290" s="110"/>
      <c r="F290" s="110"/>
      <c r="G290" s="110"/>
      <c r="I290" s="16">
        <v>289</v>
      </c>
      <c r="J290" s="112" t="str">
        <f t="shared" si="15"/>
        <v>Опарське ВУПЗГ.ДКС ОПАРИ, КЦ 1-2 ГМК№9.Стан.ГМК.</v>
      </c>
      <c r="K290" s="120" t="s">
        <v>490</v>
      </c>
      <c r="L290" s="116"/>
      <c r="M290" s="115" t="s">
        <v>7</v>
      </c>
      <c r="N290" s="115" t="s">
        <v>31</v>
      </c>
      <c r="O290" s="116" t="s">
        <v>50</v>
      </c>
      <c r="P290" s="116"/>
      <c r="Q290" s="116"/>
      <c r="R290" s="115"/>
      <c r="S290" s="116"/>
      <c r="T290" s="115" t="s">
        <v>50</v>
      </c>
      <c r="U290" s="114" t="s">
        <v>159</v>
      </c>
    </row>
    <row r="291" spans="1:21" s="111" customFormat="1" x14ac:dyDescent="0.25">
      <c r="A291" s="108" t="s">
        <v>54</v>
      </c>
      <c r="B291" s="109" t="s">
        <v>497</v>
      </c>
      <c r="C291" s="113" t="s">
        <v>466</v>
      </c>
      <c r="D291" s="110" t="s">
        <v>491</v>
      </c>
      <c r="E291" s="110">
        <v>2</v>
      </c>
      <c r="F291" s="110"/>
      <c r="G291" s="109" t="s">
        <v>333</v>
      </c>
      <c r="I291" s="16">
        <v>290</v>
      </c>
      <c r="J291" s="112" t="str">
        <f t="shared" si="15"/>
        <v>Опарське ВУПЗГ.ДКС ОПАРИ, КЦ 1-2 ГМК№10.Рвх.ГМК.2.P</v>
      </c>
      <c r="K291" s="113" t="s">
        <v>466</v>
      </c>
      <c r="L291" s="114" t="s">
        <v>399</v>
      </c>
      <c r="M291" s="115" t="s">
        <v>7</v>
      </c>
      <c r="N291" s="115" t="s">
        <v>31</v>
      </c>
      <c r="O291" s="116"/>
      <c r="P291" s="115" t="s">
        <v>13</v>
      </c>
      <c r="Q291" s="115" t="s">
        <v>51</v>
      </c>
      <c r="R291" s="115" t="s">
        <v>395</v>
      </c>
      <c r="S291" s="116"/>
      <c r="T291" s="115" t="s">
        <v>50</v>
      </c>
      <c r="U291" s="115" t="s">
        <v>17</v>
      </c>
    </row>
    <row r="292" spans="1:21" s="111" customFormat="1" x14ac:dyDescent="0.25">
      <c r="A292" s="108" t="s">
        <v>54</v>
      </c>
      <c r="B292" s="109" t="s">
        <v>497</v>
      </c>
      <c r="C292" s="113" t="s">
        <v>467</v>
      </c>
      <c r="D292" s="110" t="s">
        <v>491</v>
      </c>
      <c r="E292" s="110">
        <v>3</v>
      </c>
      <c r="F292" s="110"/>
      <c r="G292" s="109" t="s">
        <v>333</v>
      </c>
      <c r="I292" s="16">
        <v>291</v>
      </c>
      <c r="J292" s="112" t="str">
        <f t="shared" si="15"/>
        <v>Опарське ВУПЗГ.ДКС ОПАРИ, КЦ 1-2 ГМК№10.Рвих.ГМК.3.P</v>
      </c>
      <c r="K292" s="113" t="s">
        <v>467</v>
      </c>
      <c r="L292" s="114" t="s">
        <v>399</v>
      </c>
      <c r="M292" s="115" t="s">
        <v>7</v>
      </c>
      <c r="N292" s="115" t="s">
        <v>31</v>
      </c>
      <c r="O292" s="116"/>
      <c r="P292" s="115" t="s">
        <v>13</v>
      </c>
      <c r="Q292" s="115" t="s">
        <v>51</v>
      </c>
      <c r="R292" s="115" t="s">
        <v>395</v>
      </c>
      <c r="S292" s="116"/>
      <c r="T292" s="115" t="s">
        <v>50</v>
      </c>
      <c r="U292" s="115" t="s">
        <v>17</v>
      </c>
    </row>
    <row r="293" spans="1:21" s="111" customFormat="1" x14ac:dyDescent="0.25">
      <c r="A293" s="108" t="s">
        <v>54</v>
      </c>
      <c r="B293" s="109" t="s">
        <v>497</v>
      </c>
      <c r="C293" s="113" t="s">
        <v>485</v>
      </c>
      <c r="D293" s="110" t="s">
        <v>491</v>
      </c>
      <c r="E293" s="110">
        <v>4</v>
      </c>
      <c r="F293" s="110"/>
      <c r="G293" s="109"/>
      <c r="I293" s="16">
        <v>292</v>
      </c>
      <c r="J293" s="112" t="str">
        <f t="shared" ref="J293:J324" si="16">CONCATENATE(IF(ISBLANK(A293),"",A293&amp;CHAR(46)), IF(ISBLANK(B293),"",B293&amp;CHAR(46)), IF(ISBLANK(C293),"",C293&amp;CHAR(46)),IF(ISBLANK(D293),"",D293&amp;CHAR(46)), IF(ISBLANK(E293),"",E293&amp;CHAR(46)),IF(ISBLANK(F293),"",F293&amp;CHAR(46)),IF(ISBLANK(G293),"",G293) )</f>
        <v>Опарське ВУПЗГ.ДКС ОПАРИ, КЦ 1-2 ГМК№10.Е.ГМК.4.</v>
      </c>
      <c r="K293" s="113" t="s">
        <v>485</v>
      </c>
      <c r="L293" s="116"/>
      <c r="M293" s="115" t="s">
        <v>7</v>
      </c>
      <c r="N293" s="115" t="s">
        <v>31</v>
      </c>
      <c r="O293" s="116"/>
      <c r="P293" s="115" t="s">
        <v>13</v>
      </c>
      <c r="Q293" s="115" t="s">
        <v>51</v>
      </c>
      <c r="R293" s="115" t="s">
        <v>395</v>
      </c>
      <c r="S293" s="126" t="s">
        <v>561</v>
      </c>
      <c r="T293" s="115" t="s">
        <v>50</v>
      </c>
      <c r="U293" s="115" t="s">
        <v>17</v>
      </c>
    </row>
    <row r="294" spans="1:21" s="111" customFormat="1" x14ac:dyDescent="0.25">
      <c r="A294" s="108" t="s">
        <v>54</v>
      </c>
      <c r="B294" s="109" t="s">
        <v>497</v>
      </c>
      <c r="C294" s="113" t="s">
        <v>469</v>
      </c>
      <c r="D294" s="110" t="s">
        <v>491</v>
      </c>
      <c r="E294" s="110">
        <v>5</v>
      </c>
      <c r="F294" s="110"/>
      <c r="G294" s="109" t="s">
        <v>165</v>
      </c>
      <c r="I294" s="16">
        <v>293</v>
      </c>
      <c r="J294" s="112" t="str">
        <f t="shared" si="16"/>
        <v>Опарське ВУПЗГ.ДКС ОПАРИ, КЦ 1-2 ГМК№10.Твх.ГМК.5.T</v>
      </c>
      <c r="K294" s="113" t="s">
        <v>469</v>
      </c>
      <c r="L294" s="117" t="s">
        <v>157</v>
      </c>
      <c r="M294" s="115" t="s">
        <v>7</v>
      </c>
      <c r="N294" s="115" t="s">
        <v>31</v>
      </c>
      <c r="O294" s="116"/>
      <c r="P294" s="115" t="s">
        <v>13</v>
      </c>
      <c r="Q294" s="115" t="s">
        <v>51</v>
      </c>
      <c r="R294" s="115" t="s">
        <v>395</v>
      </c>
      <c r="S294" s="116"/>
      <c r="T294" s="115" t="s">
        <v>50</v>
      </c>
      <c r="U294" s="115" t="s">
        <v>17</v>
      </c>
    </row>
    <row r="295" spans="1:21" s="111" customFormat="1" x14ac:dyDescent="0.25">
      <c r="A295" s="108" t="s">
        <v>54</v>
      </c>
      <c r="B295" s="109" t="s">
        <v>497</v>
      </c>
      <c r="C295" s="113" t="s">
        <v>470</v>
      </c>
      <c r="D295" s="110" t="s">
        <v>491</v>
      </c>
      <c r="E295" s="110">
        <v>6</v>
      </c>
      <c r="F295" s="110"/>
      <c r="G295" s="109" t="s">
        <v>165</v>
      </c>
      <c r="I295" s="16">
        <v>294</v>
      </c>
      <c r="J295" s="112" t="str">
        <f t="shared" si="16"/>
        <v>Опарське ВУПЗГ.ДКС ОПАРИ, КЦ 1-2 ГМК№10.Твих.ГМК.6.T</v>
      </c>
      <c r="K295" s="113" t="s">
        <v>470</v>
      </c>
      <c r="L295" s="117" t="s">
        <v>157</v>
      </c>
      <c r="M295" s="115" t="s">
        <v>7</v>
      </c>
      <c r="N295" s="115" t="s">
        <v>31</v>
      </c>
      <c r="O295" s="116"/>
      <c r="P295" s="115" t="s">
        <v>13</v>
      </c>
      <c r="Q295" s="115" t="s">
        <v>51</v>
      </c>
      <c r="R295" s="115" t="s">
        <v>395</v>
      </c>
      <c r="S295" s="116"/>
      <c r="T295" s="115" t="s">
        <v>50</v>
      </c>
      <c r="U295" s="115" t="s">
        <v>17</v>
      </c>
    </row>
    <row r="296" spans="1:21" s="111" customFormat="1" x14ac:dyDescent="0.25">
      <c r="A296" s="108" t="s">
        <v>54</v>
      </c>
      <c r="B296" s="109" t="s">
        <v>497</v>
      </c>
      <c r="C296" s="113" t="s">
        <v>471</v>
      </c>
      <c r="D296" s="110" t="s">
        <v>491</v>
      </c>
      <c r="E296" s="110">
        <v>7</v>
      </c>
      <c r="F296" s="110"/>
      <c r="G296" s="109" t="s">
        <v>165</v>
      </c>
      <c r="I296" s="16">
        <v>295</v>
      </c>
      <c r="J296" s="112" t="str">
        <f t="shared" si="16"/>
        <v>Опарське ВУПЗГ.ДКС ОПАРИ, КЦ 1-2 ГМК№10.Тапо.ГМК.7.T</v>
      </c>
      <c r="K296" s="113" t="s">
        <v>471</v>
      </c>
      <c r="L296" s="117" t="s">
        <v>157</v>
      </c>
      <c r="M296" s="115" t="s">
        <v>7</v>
      </c>
      <c r="N296" s="115" t="s">
        <v>31</v>
      </c>
      <c r="O296" s="116"/>
      <c r="P296" s="115" t="s">
        <v>13</v>
      </c>
      <c r="Q296" s="115" t="s">
        <v>51</v>
      </c>
      <c r="R296" s="115" t="s">
        <v>395</v>
      </c>
      <c r="S296" s="116"/>
      <c r="T296" s="115" t="s">
        <v>50</v>
      </c>
      <c r="U296" s="115" t="s">
        <v>17</v>
      </c>
    </row>
    <row r="297" spans="1:21" s="111" customFormat="1" x14ac:dyDescent="0.25">
      <c r="A297" s="108" t="s">
        <v>54</v>
      </c>
      <c r="B297" s="109" t="s">
        <v>497</v>
      </c>
      <c r="C297" s="120" t="s">
        <v>507</v>
      </c>
      <c r="D297" s="110" t="s">
        <v>491</v>
      </c>
      <c r="E297" s="110">
        <v>8</v>
      </c>
      <c r="F297" s="110"/>
      <c r="G297" s="109" t="s">
        <v>168</v>
      </c>
      <c r="I297" s="16">
        <v>296</v>
      </c>
      <c r="J297" s="112" t="str">
        <f t="shared" si="16"/>
        <v>Опарське ВУПЗГ.ДКС ОПАРИ, КЦ 1-2 ГМК№10.Перекачка.ГМК.8.Q</v>
      </c>
      <c r="K297" s="120" t="s">
        <v>507</v>
      </c>
      <c r="L297" s="20" t="s">
        <v>158</v>
      </c>
      <c r="M297" s="115" t="s">
        <v>7</v>
      </c>
      <c r="N297" s="115" t="s">
        <v>31</v>
      </c>
      <c r="O297" s="116"/>
      <c r="P297" s="115" t="s">
        <v>13</v>
      </c>
      <c r="Q297" s="115" t="s">
        <v>51</v>
      </c>
      <c r="R297" s="115" t="s">
        <v>395</v>
      </c>
      <c r="S297" s="116"/>
      <c r="T297" s="115" t="s">
        <v>50</v>
      </c>
      <c r="U297" s="115" t="s">
        <v>17</v>
      </c>
    </row>
    <row r="298" spans="1:21" s="111" customFormat="1" x14ac:dyDescent="0.25">
      <c r="A298" s="108" t="s">
        <v>54</v>
      </c>
      <c r="B298" s="110" t="s">
        <v>497</v>
      </c>
      <c r="C298" s="120" t="s">
        <v>478</v>
      </c>
      <c r="D298" s="110" t="s">
        <v>491</v>
      </c>
      <c r="E298" s="110">
        <v>9</v>
      </c>
      <c r="F298" s="110"/>
      <c r="G298" s="109" t="s">
        <v>487</v>
      </c>
      <c r="I298" s="16">
        <v>297</v>
      </c>
      <c r="J298" s="112" t="str">
        <f t="shared" si="16"/>
        <v>Опарське ВУПЗГ.ДКС ОПАРИ, КЦ 1-2 ГМК№10.Оберти.ГМК.9.об/хв</v>
      </c>
      <c r="K298" s="120" t="s">
        <v>478</v>
      </c>
      <c r="L298" s="19" t="s">
        <v>487</v>
      </c>
      <c r="M298" s="115" t="s">
        <v>7</v>
      </c>
      <c r="N298" s="115" t="s">
        <v>31</v>
      </c>
      <c r="O298" s="116"/>
      <c r="P298" s="116" t="s">
        <v>8</v>
      </c>
      <c r="Q298" s="116" t="s">
        <v>7</v>
      </c>
      <c r="R298" s="115" t="s">
        <v>395</v>
      </c>
      <c r="S298" s="116"/>
      <c r="T298" s="115" t="s">
        <v>50</v>
      </c>
      <c r="U298" s="115" t="s">
        <v>17</v>
      </c>
    </row>
    <row r="299" spans="1:21" s="111" customFormat="1" x14ac:dyDescent="0.25">
      <c r="A299" s="108" t="s">
        <v>54</v>
      </c>
      <c r="B299" s="110" t="s">
        <v>497</v>
      </c>
      <c r="C299" s="120" t="s">
        <v>479</v>
      </c>
      <c r="D299" s="110" t="s">
        <v>491</v>
      </c>
      <c r="E299" s="110"/>
      <c r="F299" s="110"/>
      <c r="G299" s="110"/>
      <c r="I299" s="16">
        <v>298</v>
      </c>
      <c r="J299" s="112" t="str">
        <f t="shared" si="16"/>
        <v>Опарське ВУПЗГ.ДКС ОПАРИ, КЦ 1-2 ГМК№10.Схема вкл.ГМК.</v>
      </c>
      <c r="K299" s="120" t="s">
        <v>479</v>
      </c>
      <c r="L299" s="116"/>
      <c r="M299" s="115" t="s">
        <v>7</v>
      </c>
      <c r="N299" s="115" t="s">
        <v>31</v>
      </c>
      <c r="O299" s="126" t="s">
        <v>172</v>
      </c>
      <c r="P299" s="116"/>
      <c r="Q299" s="116"/>
      <c r="R299" s="115"/>
      <c r="S299" s="116"/>
      <c r="T299" s="115" t="s">
        <v>50</v>
      </c>
      <c r="U299" s="114" t="s">
        <v>159</v>
      </c>
    </row>
    <row r="300" spans="1:21" s="111" customFormat="1" x14ac:dyDescent="0.25">
      <c r="A300" s="108" t="s">
        <v>54</v>
      </c>
      <c r="B300" s="110" t="s">
        <v>497</v>
      </c>
      <c r="C300" s="120" t="s">
        <v>490</v>
      </c>
      <c r="D300" s="110" t="s">
        <v>491</v>
      </c>
      <c r="E300" s="110"/>
      <c r="F300" s="110"/>
      <c r="G300" s="110"/>
      <c r="I300" s="16">
        <v>299</v>
      </c>
      <c r="J300" s="112" t="str">
        <f t="shared" si="16"/>
        <v>Опарське ВУПЗГ.ДКС ОПАРИ, КЦ 1-2 ГМК№10.Стан.ГМК.</v>
      </c>
      <c r="K300" s="120" t="s">
        <v>490</v>
      </c>
      <c r="L300" s="116"/>
      <c r="M300" s="115" t="s">
        <v>7</v>
      </c>
      <c r="N300" s="115" t="s">
        <v>31</v>
      </c>
      <c r="O300" s="116" t="s">
        <v>50</v>
      </c>
      <c r="P300" s="116"/>
      <c r="Q300" s="116"/>
      <c r="R300" s="115"/>
      <c r="S300" s="116"/>
      <c r="T300" s="115" t="s">
        <v>50</v>
      </c>
      <c r="U300" s="114" t="s">
        <v>159</v>
      </c>
    </row>
    <row r="301" spans="1:21" s="111" customFormat="1" x14ac:dyDescent="0.25">
      <c r="A301" s="108" t="s">
        <v>54</v>
      </c>
      <c r="B301" s="109" t="s">
        <v>498</v>
      </c>
      <c r="C301" s="113" t="s">
        <v>466</v>
      </c>
      <c r="D301" s="110" t="s">
        <v>491</v>
      </c>
      <c r="E301" s="110">
        <v>2</v>
      </c>
      <c r="F301" s="110"/>
      <c r="G301" s="109" t="s">
        <v>333</v>
      </c>
      <c r="I301" s="16">
        <v>300</v>
      </c>
      <c r="J301" s="112" t="str">
        <f t="shared" si="16"/>
        <v>Опарське ВУПЗГ.ДКС ОПАРИ, КЦ 1-2 ГМК№11.Рвх.ГМК.2.P</v>
      </c>
      <c r="K301" s="113" t="s">
        <v>466</v>
      </c>
      <c r="L301" s="114" t="s">
        <v>399</v>
      </c>
      <c r="M301" s="115" t="s">
        <v>7</v>
      </c>
      <c r="N301" s="115" t="s">
        <v>31</v>
      </c>
      <c r="O301" s="116"/>
      <c r="P301" s="115" t="s">
        <v>13</v>
      </c>
      <c r="Q301" s="115" t="s">
        <v>51</v>
      </c>
      <c r="R301" s="115" t="s">
        <v>395</v>
      </c>
      <c r="S301" s="116"/>
      <c r="T301" s="115" t="s">
        <v>50</v>
      </c>
      <c r="U301" s="115" t="s">
        <v>17</v>
      </c>
    </row>
    <row r="302" spans="1:21" s="111" customFormat="1" x14ac:dyDescent="0.25">
      <c r="A302" s="108" t="s">
        <v>54</v>
      </c>
      <c r="B302" s="109" t="s">
        <v>498</v>
      </c>
      <c r="C302" s="113" t="s">
        <v>467</v>
      </c>
      <c r="D302" s="110" t="s">
        <v>491</v>
      </c>
      <c r="E302" s="110">
        <v>3</v>
      </c>
      <c r="F302" s="110"/>
      <c r="G302" s="109" t="s">
        <v>333</v>
      </c>
      <c r="I302" s="16">
        <v>301</v>
      </c>
      <c r="J302" s="112" t="str">
        <f t="shared" si="16"/>
        <v>Опарське ВУПЗГ.ДКС ОПАРИ, КЦ 1-2 ГМК№11.Рвих.ГМК.3.P</v>
      </c>
      <c r="K302" s="113" t="s">
        <v>467</v>
      </c>
      <c r="L302" s="114" t="s">
        <v>399</v>
      </c>
      <c r="M302" s="115" t="s">
        <v>7</v>
      </c>
      <c r="N302" s="115" t="s">
        <v>31</v>
      </c>
      <c r="O302" s="116"/>
      <c r="P302" s="115" t="s">
        <v>13</v>
      </c>
      <c r="Q302" s="115" t="s">
        <v>51</v>
      </c>
      <c r="R302" s="115" t="s">
        <v>395</v>
      </c>
      <c r="S302" s="116"/>
      <c r="T302" s="115" t="s">
        <v>50</v>
      </c>
      <c r="U302" s="115" t="s">
        <v>17</v>
      </c>
    </row>
    <row r="303" spans="1:21" s="111" customFormat="1" x14ac:dyDescent="0.25">
      <c r="A303" s="108" t="s">
        <v>54</v>
      </c>
      <c r="B303" s="109" t="s">
        <v>498</v>
      </c>
      <c r="C303" s="113" t="s">
        <v>485</v>
      </c>
      <c r="D303" s="110" t="s">
        <v>491</v>
      </c>
      <c r="E303" s="110">
        <v>4</v>
      </c>
      <c r="F303" s="110"/>
      <c r="G303" s="109"/>
      <c r="I303" s="16">
        <v>302</v>
      </c>
      <c r="J303" s="112" t="str">
        <f t="shared" si="16"/>
        <v>Опарське ВУПЗГ.ДКС ОПАРИ, КЦ 1-2 ГМК№11.Е.ГМК.4.</v>
      </c>
      <c r="K303" s="113" t="s">
        <v>485</v>
      </c>
      <c r="L303" s="116"/>
      <c r="M303" s="115" t="s">
        <v>7</v>
      </c>
      <c r="N303" s="115" t="s">
        <v>31</v>
      </c>
      <c r="O303" s="116"/>
      <c r="P303" s="115" t="s">
        <v>13</v>
      </c>
      <c r="Q303" s="115" t="s">
        <v>51</v>
      </c>
      <c r="R303" s="115" t="s">
        <v>395</v>
      </c>
      <c r="S303" s="126" t="s">
        <v>562</v>
      </c>
      <c r="T303" s="115" t="s">
        <v>50</v>
      </c>
      <c r="U303" s="115" t="s">
        <v>17</v>
      </c>
    </row>
    <row r="304" spans="1:21" s="111" customFormat="1" x14ac:dyDescent="0.25">
      <c r="A304" s="108" t="s">
        <v>54</v>
      </c>
      <c r="B304" s="109" t="s">
        <v>498</v>
      </c>
      <c r="C304" s="113" t="s">
        <v>469</v>
      </c>
      <c r="D304" s="110" t="s">
        <v>491</v>
      </c>
      <c r="E304" s="110">
        <v>5</v>
      </c>
      <c r="F304" s="110"/>
      <c r="G304" s="109" t="s">
        <v>165</v>
      </c>
      <c r="I304" s="16">
        <v>303</v>
      </c>
      <c r="J304" s="112" t="str">
        <f t="shared" si="16"/>
        <v>Опарське ВУПЗГ.ДКС ОПАРИ, КЦ 1-2 ГМК№11.Твх.ГМК.5.T</v>
      </c>
      <c r="K304" s="113" t="s">
        <v>469</v>
      </c>
      <c r="L304" s="117" t="s">
        <v>157</v>
      </c>
      <c r="M304" s="115" t="s">
        <v>7</v>
      </c>
      <c r="N304" s="115" t="s">
        <v>31</v>
      </c>
      <c r="O304" s="116"/>
      <c r="P304" s="115" t="s">
        <v>13</v>
      </c>
      <c r="Q304" s="115" t="s">
        <v>51</v>
      </c>
      <c r="R304" s="115" t="s">
        <v>395</v>
      </c>
      <c r="S304" s="116"/>
      <c r="T304" s="115" t="s">
        <v>50</v>
      </c>
      <c r="U304" s="115" t="s">
        <v>17</v>
      </c>
    </row>
    <row r="305" spans="1:21" s="111" customFormat="1" x14ac:dyDescent="0.25">
      <c r="A305" s="108" t="s">
        <v>54</v>
      </c>
      <c r="B305" s="109" t="s">
        <v>498</v>
      </c>
      <c r="C305" s="113" t="s">
        <v>470</v>
      </c>
      <c r="D305" s="110" t="s">
        <v>491</v>
      </c>
      <c r="E305" s="110">
        <v>6</v>
      </c>
      <c r="F305" s="110"/>
      <c r="G305" s="109" t="s">
        <v>165</v>
      </c>
      <c r="I305" s="16">
        <v>304</v>
      </c>
      <c r="J305" s="112" t="str">
        <f t="shared" si="16"/>
        <v>Опарське ВУПЗГ.ДКС ОПАРИ, КЦ 1-2 ГМК№11.Твих.ГМК.6.T</v>
      </c>
      <c r="K305" s="113" t="s">
        <v>470</v>
      </c>
      <c r="L305" s="117" t="s">
        <v>157</v>
      </c>
      <c r="M305" s="115" t="s">
        <v>7</v>
      </c>
      <c r="N305" s="115" t="s">
        <v>31</v>
      </c>
      <c r="O305" s="116"/>
      <c r="P305" s="115" t="s">
        <v>13</v>
      </c>
      <c r="Q305" s="115" t="s">
        <v>51</v>
      </c>
      <c r="R305" s="115" t="s">
        <v>395</v>
      </c>
      <c r="S305" s="116"/>
      <c r="T305" s="115" t="s">
        <v>50</v>
      </c>
      <c r="U305" s="115" t="s">
        <v>17</v>
      </c>
    </row>
    <row r="306" spans="1:21" s="111" customFormat="1" x14ac:dyDescent="0.25">
      <c r="A306" s="108" t="s">
        <v>54</v>
      </c>
      <c r="B306" s="109" t="s">
        <v>498</v>
      </c>
      <c r="C306" s="113" t="s">
        <v>471</v>
      </c>
      <c r="D306" s="110" t="s">
        <v>491</v>
      </c>
      <c r="E306" s="110">
        <v>7</v>
      </c>
      <c r="F306" s="110"/>
      <c r="G306" s="109" t="s">
        <v>165</v>
      </c>
      <c r="I306" s="16">
        <v>305</v>
      </c>
      <c r="J306" s="112" t="str">
        <f t="shared" si="16"/>
        <v>Опарське ВУПЗГ.ДКС ОПАРИ, КЦ 1-2 ГМК№11.Тапо.ГМК.7.T</v>
      </c>
      <c r="K306" s="113" t="s">
        <v>471</v>
      </c>
      <c r="L306" s="117" t="s">
        <v>157</v>
      </c>
      <c r="M306" s="115" t="s">
        <v>7</v>
      </c>
      <c r="N306" s="115" t="s">
        <v>31</v>
      </c>
      <c r="O306" s="116"/>
      <c r="P306" s="115" t="s">
        <v>13</v>
      </c>
      <c r="Q306" s="115" t="s">
        <v>51</v>
      </c>
      <c r="R306" s="115" t="s">
        <v>395</v>
      </c>
      <c r="S306" s="116"/>
      <c r="T306" s="115" t="s">
        <v>50</v>
      </c>
      <c r="U306" s="115" t="s">
        <v>17</v>
      </c>
    </row>
    <row r="307" spans="1:21" s="111" customFormat="1" x14ac:dyDescent="0.25">
      <c r="A307" s="108" t="s">
        <v>54</v>
      </c>
      <c r="B307" s="109" t="s">
        <v>498</v>
      </c>
      <c r="C307" s="120" t="s">
        <v>507</v>
      </c>
      <c r="D307" s="110" t="s">
        <v>491</v>
      </c>
      <c r="E307" s="110">
        <v>8</v>
      </c>
      <c r="F307" s="110"/>
      <c r="G307" s="109" t="s">
        <v>168</v>
      </c>
      <c r="I307" s="16">
        <v>306</v>
      </c>
      <c r="J307" s="112" t="str">
        <f t="shared" si="16"/>
        <v>Опарське ВУПЗГ.ДКС ОПАРИ, КЦ 1-2 ГМК№11.Перекачка.ГМК.8.Q</v>
      </c>
      <c r="K307" s="120" t="s">
        <v>507</v>
      </c>
      <c r="L307" s="20" t="s">
        <v>158</v>
      </c>
      <c r="M307" s="115" t="s">
        <v>7</v>
      </c>
      <c r="N307" s="115" t="s">
        <v>31</v>
      </c>
      <c r="O307" s="116"/>
      <c r="P307" s="115" t="s">
        <v>13</v>
      </c>
      <c r="Q307" s="115" t="s">
        <v>51</v>
      </c>
      <c r="R307" s="115" t="s">
        <v>395</v>
      </c>
      <c r="S307" s="116"/>
      <c r="T307" s="115" t="s">
        <v>50</v>
      </c>
      <c r="U307" s="115" t="s">
        <v>17</v>
      </c>
    </row>
    <row r="308" spans="1:21" s="111" customFormat="1" x14ac:dyDescent="0.25">
      <c r="A308" s="108" t="s">
        <v>54</v>
      </c>
      <c r="B308" s="110" t="s">
        <v>498</v>
      </c>
      <c r="C308" s="120" t="s">
        <v>478</v>
      </c>
      <c r="D308" s="110" t="s">
        <v>491</v>
      </c>
      <c r="E308" s="110">
        <v>9</v>
      </c>
      <c r="F308" s="110"/>
      <c r="G308" s="109" t="s">
        <v>487</v>
      </c>
      <c r="I308" s="16">
        <v>307</v>
      </c>
      <c r="J308" s="112" t="str">
        <f t="shared" si="16"/>
        <v>Опарське ВУПЗГ.ДКС ОПАРИ, КЦ 1-2 ГМК№11.Оберти.ГМК.9.об/хв</v>
      </c>
      <c r="K308" s="120" t="s">
        <v>478</v>
      </c>
      <c r="L308" s="19" t="s">
        <v>487</v>
      </c>
      <c r="M308" s="115" t="s">
        <v>7</v>
      </c>
      <c r="N308" s="115" t="s">
        <v>31</v>
      </c>
      <c r="O308" s="116"/>
      <c r="P308" s="116" t="s">
        <v>8</v>
      </c>
      <c r="Q308" s="116" t="s">
        <v>7</v>
      </c>
      <c r="R308" s="115" t="s">
        <v>395</v>
      </c>
      <c r="S308" s="116"/>
      <c r="T308" s="115" t="s">
        <v>50</v>
      </c>
      <c r="U308" s="115" t="s">
        <v>17</v>
      </c>
    </row>
    <row r="309" spans="1:21" s="111" customFormat="1" x14ac:dyDescent="0.25">
      <c r="A309" s="108" t="s">
        <v>54</v>
      </c>
      <c r="B309" s="110" t="s">
        <v>498</v>
      </c>
      <c r="C309" s="120" t="s">
        <v>479</v>
      </c>
      <c r="D309" s="110" t="s">
        <v>491</v>
      </c>
      <c r="E309" s="110"/>
      <c r="F309" s="110"/>
      <c r="G309" s="110"/>
      <c r="I309" s="16">
        <v>308</v>
      </c>
      <c r="J309" s="112" t="str">
        <f t="shared" si="16"/>
        <v>Опарське ВУПЗГ.ДКС ОПАРИ, КЦ 1-2 ГМК№11.Схема вкл.ГМК.</v>
      </c>
      <c r="K309" s="120" t="s">
        <v>479</v>
      </c>
      <c r="L309" s="116"/>
      <c r="M309" s="115" t="s">
        <v>7</v>
      </c>
      <c r="N309" s="115" t="s">
        <v>31</v>
      </c>
      <c r="O309" s="126" t="s">
        <v>172</v>
      </c>
      <c r="P309" s="116"/>
      <c r="Q309" s="116"/>
      <c r="R309" s="115"/>
      <c r="S309" s="116"/>
      <c r="T309" s="115" t="s">
        <v>50</v>
      </c>
      <c r="U309" s="114" t="s">
        <v>159</v>
      </c>
    </row>
    <row r="310" spans="1:21" s="111" customFormat="1" x14ac:dyDescent="0.25">
      <c r="A310" s="108" t="s">
        <v>54</v>
      </c>
      <c r="B310" s="110" t="s">
        <v>498</v>
      </c>
      <c r="C310" s="120" t="s">
        <v>490</v>
      </c>
      <c r="D310" s="110" t="s">
        <v>491</v>
      </c>
      <c r="E310" s="110"/>
      <c r="F310" s="110"/>
      <c r="G310" s="110"/>
      <c r="I310" s="16">
        <v>309</v>
      </c>
      <c r="J310" s="112" t="str">
        <f t="shared" si="16"/>
        <v>Опарське ВУПЗГ.ДКС ОПАРИ, КЦ 1-2 ГМК№11.Стан.ГМК.</v>
      </c>
      <c r="K310" s="120" t="s">
        <v>490</v>
      </c>
      <c r="L310" s="116"/>
      <c r="M310" s="115" t="s">
        <v>7</v>
      </c>
      <c r="N310" s="115" t="s">
        <v>31</v>
      </c>
      <c r="O310" s="116" t="s">
        <v>50</v>
      </c>
      <c r="P310" s="116"/>
      <c r="Q310" s="116"/>
      <c r="R310" s="115"/>
      <c r="S310" s="116"/>
      <c r="T310" s="115" t="s">
        <v>50</v>
      </c>
      <c r="U310" s="114" t="s">
        <v>159</v>
      </c>
    </row>
    <row r="311" spans="1:21" s="111" customFormat="1" x14ac:dyDescent="0.25">
      <c r="A311" s="108" t="s">
        <v>54</v>
      </c>
      <c r="B311" s="109" t="s">
        <v>499</v>
      </c>
      <c r="C311" s="113" t="s">
        <v>466</v>
      </c>
      <c r="D311" s="110" t="s">
        <v>491</v>
      </c>
      <c r="E311" s="110">
        <v>2</v>
      </c>
      <c r="F311" s="110"/>
      <c r="G311" s="109" t="s">
        <v>333</v>
      </c>
      <c r="I311" s="16">
        <v>310</v>
      </c>
      <c r="J311" s="112" t="str">
        <f t="shared" si="16"/>
        <v>Опарське ВУПЗГ.ДКС ОПАРИ, КЦ 1-2 ГМК№13.Рвх.ГМК.2.P</v>
      </c>
      <c r="K311" s="113" t="s">
        <v>466</v>
      </c>
      <c r="L311" s="114" t="s">
        <v>399</v>
      </c>
      <c r="M311" s="115" t="s">
        <v>7</v>
      </c>
      <c r="N311" s="115" t="s">
        <v>31</v>
      </c>
      <c r="O311" s="116"/>
      <c r="P311" s="115" t="s">
        <v>13</v>
      </c>
      <c r="Q311" s="115" t="s">
        <v>51</v>
      </c>
      <c r="R311" s="115" t="s">
        <v>395</v>
      </c>
      <c r="S311" s="116"/>
      <c r="T311" s="115" t="s">
        <v>50</v>
      </c>
      <c r="U311" s="115" t="s">
        <v>17</v>
      </c>
    </row>
    <row r="312" spans="1:21" s="111" customFormat="1" x14ac:dyDescent="0.25">
      <c r="A312" s="108" t="s">
        <v>54</v>
      </c>
      <c r="B312" s="109" t="s">
        <v>499</v>
      </c>
      <c r="C312" s="113" t="s">
        <v>467</v>
      </c>
      <c r="D312" s="110" t="s">
        <v>491</v>
      </c>
      <c r="E312" s="110">
        <v>3</v>
      </c>
      <c r="F312" s="110"/>
      <c r="G312" s="109" t="s">
        <v>333</v>
      </c>
      <c r="I312" s="16">
        <v>311</v>
      </c>
      <c r="J312" s="112" t="str">
        <f t="shared" si="16"/>
        <v>Опарське ВУПЗГ.ДКС ОПАРИ, КЦ 1-2 ГМК№13.Рвих.ГМК.3.P</v>
      </c>
      <c r="K312" s="113" t="s">
        <v>467</v>
      </c>
      <c r="L312" s="114" t="s">
        <v>399</v>
      </c>
      <c r="M312" s="115" t="s">
        <v>7</v>
      </c>
      <c r="N312" s="115" t="s">
        <v>31</v>
      </c>
      <c r="O312" s="116"/>
      <c r="P312" s="115" t="s">
        <v>13</v>
      </c>
      <c r="Q312" s="115" t="s">
        <v>51</v>
      </c>
      <c r="R312" s="115" t="s">
        <v>395</v>
      </c>
      <c r="S312" s="116"/>
      <c r="T312" s="115" t="s">
        <v>50</v>
      </c>
      <c r="U312" s="115" t="s">
        <v>17</v>
      </c>
    </row>
    <row r="313" spans="1:21" s="111" customFormat="1" x14ac:dyDescent="0.25">
      <c r="A313" s="108" t="s">
        <v>54</v>
      </c>
      <c r="B313" s="109" t="s">
        <v>499</v>
      </c>
      <c r="C313" s="113" t="s">
        <v>485</v>
      </c>
      <c r="D313" s="110" t="s">
        <v>491</v>
      </c>
      <c r="E313" s="110">
        <v>4</v>
      </c>
      <c r="F313" s="110"/>
      <c r="G313" s="109"/>
      <c r="I313" s="16">
        <v>312</v>
      </c>
      <c r="J313" s="112" t="str">
        <f t="shared" si="16"/>
        <v>Опарське ВУПЗГ.ДКС ОПАРИ, КЦ 1-2 ГМК№13.Е.ГМК.4.</v>
      </c>
      <c r="K313" s="113" t="s">
        <v>485</v>
      </c>
      <c r="L313" s="116"/>
      <c r="M313" s="115" t="s">
        <v>7</v>
      </c>
      <c r="N313" s="115" t="s">
        <v>31</v>
      </c>
      <c r="O313" s="116"/>
      <c r="P313" s="115" t="s">
        <v>13</v>
      </c>
      <c r="Q313" s="115" t="s">
        <v>51</v>
      </c>
      <c r="R313" s="115" t="s">
        <v>395</v>
      </c>
      <c r="S313" s="126" t="s">
        <v>563</v>
      </c>
      <c r="T313" s="115" t="s">
        <v>50</v>
      </c>
      <c r="U313" s="115" t="s">
        <v>17</v>
      </c>
    </row>
    <row r="314" spans="1:21" s="111" customFormat="1" x14ac:dyDescent="0.25">
      <c r="A314" s="108" t="s">
        <v>54</v>
      </c>
      <c r="B314" s="109" t="s">
        <v>499</v>
      </c>
      <c r="C314" s="113" t="s">
        <v>469</v>
      </c>
      <c r="D314" s="110" t="s">
        <v>491</v>
      </c>
      <c r="E314" s="110">
        <v>5</v>
      </c>
      <c r="F314" s="110"/>
      <c r="G314" s="109" t="s">
        <v>165</v>
      </c>
      <c r="I314" s="16">
        <v>313</v>
      </c>
      <c r="J314" s="112" t="str">
        <f t="shared" si="16"/>
        <v>Опарське ВУПЗГ.ДКС ОПАРИ, КЦ 1-2 ГМК№13.Твх.ГМК.5.T</v>
      </c>
      <c r="K314" s="113" t="s">
        <v>469</v>
      </c>
      <c r="L314" s="117" t="s">
        <v>157</v>
      </c>
      <c r="M314" s="115" t="s">
        <v>7</v>
      </c>
      <c r="N314" s="115" t="s">
        <v>31</v>
      </c>
      <c r="O314" s="116"/>
      <c r="P314" s="115" t="s">
        <v>13</v>
      </c>
      <c r="Q314" s="115" t="s">
        <v>51</v>
      </c>
      <c r="R314" s="115" t="s">
        <v>395</v>
      </c>
      <c r="S314" s="116"/>
      <c r="T314" s="115" t="s">
        <v>50</v>
      </c>
      <c r="U314" s="115" t="s">
        <v>17</v>
      </c>
    </row>
    <row r="315" spans="1:21" s="111" customFormat="1" x14ac:dyDescent="0.25">
      <c r="A315" s="108" t="s">
        <v>54</v>
      </c>
      <c r="B315" s="109" t="s">
        <v>499</v>
      </c>
      <c r="C315" s="113" t="s">
        <v>470</v>
      </c>
      <c r="D315" s="110" t="s">
        <v>491</v>
      </c>
      <c r="E315" s="110">
        <v>6</v>
      </c>
      <c r="F315" s="110"/>
      <c r="G315" s="109" t="s">
        <v>165</v>
      </c>
      <c r="I315" s="16">
        <v>314</v>
      </c>
      <c r="J315" s="112" t="str">
        <f t="shared" si="16"/>
        <v>Опарське ВУПЗГ.ДКС ОПАРИ, КЦ 1-2 ГМК№13.Твих.ГМК.6.T</v>
      </c>
      <c r="K315" s="113" t="s">
        <v>470</v>
      </c>
      <c r="L315" s="117" t="s">
        <v>157</v>
      </c>
      <c r="M315" s="115" t="s">
        <v>7</v>
      </c>
      <c r="N315" s="115" t="s">
        <v>31</v>
      </c>
      <c r="O315" s="116"/>
      <c r="P315" s="115" t="s">
        <v>13</v>
      </c>
      <c r="Q315" s="115" t="s">
        <v>51</v>
      </c>
      <c r="R315" s="115" t="s">
        <v>395</v>
      </c>
      <c r="S315" s="116"/>
      <c r="T315" s="115" t="s">
        <v>50</v>
      </c>
      <c r="U315" s="115" t="s">
        <v>17</v>
      </c>
    </row>
    <row r="316" spans="1:21" s="111" customFormat="1" x14ac:dyDescent="0.25">
      <c r="A316" s="108" t="s">
        <v>54</v>
      </c>
      <c r="B316" s="109" t="s">
        <v>499</v>
      </c>
      <c r="C316" s="113" t="s">
        <v>471</v>
      </c>
      <c r="D316" s="110" t="s">
        <v>491</v>
      </c>
      <c r="E316" s="110">
        <v>7</v>
      </c>
      <c r="F316" s="110"/>
      <c r="G316" s="109" t="s">
        <v>165</v>
      </c>
      <c r="I316" s="16">
        <v>315</v>
      </c>
      <c r="J316" s="112" t="str">
        <f t="shared" si="16"/>
        <v>Опарське ВУПЗГ.ДКС ОПАРИ, КЦ 1-2 ГМК№13.Тапо.ГМК.7.T</v>
      </c>
      <c r="K316" s="113" t="s">
        <v>471</v>
      </c>
      <c r="L316" s="117" t="s">
        <v>157</v>
      </c>
      <c r="M316" s="115" t="s">
        <v>7</v>
      </c>
      <c r="N316" s="115" t="s">
        <v>31</v>
      </c>
      <c r="O316" s="116"/>
      <c r="P316" s="115" t="s">
        <v>13</v>
      </c>
      <c r="Q316" s="115" t="s">
        <v>51</v>
      </c>
      <c r="R316" s="115" t="s">
        <v>395</v>
      </c>
      <c r="S316" s="116"/>
      <c r="T316" s="115" t="s">
        <v>50</v>
      </c>
      <c r="U316" s="115" t="s">
        <v>17</v>
      </c>
    </row>
    <row r="317" spans="1:21" s="111" customFormat="1" x14ac:dyDescent="0.25">
      <c r="A317" s="108" t="s">
        <v>54</v>
      </c>
      <c r="B317" s="109" t="s">
        <v>499</v>
      </c>
      <c r="C317" s="120" t="s">
        <v>507</v>
      </c>
      <c r="D317" s="110" t="s">
        <v>491</v>
      </c>
      <c r="E317" s="110">
        <v>8</v>
      </c>
      <c r="F317" s="110"/>
      <c r="G317" s="109" t="s">
        <v>168</v>
      </c>
      <c r="I317" s="16">
        <v>316</v>
      </c>
      <c r="J317" s="112" t="str">
        <f t="shared" si="16"/>
        <v>Опарське ВУПЗГ.ДКС ОПАРИ, КЦ 1-2 ГМК№13.Перекачка.ГМК.8.Q</v>
      </c>
      <c r="K317" s="120" t="s">
        <v>507</v>
      </c>
      <c r="L317" s="20" t="s">
        <v>158</v>
      </c>
      <c r="M317" s="115" t="s">
        <v>7</v>
      </c>
      <c r="N317" s="115" t="s">
        <v>31</v>
      </c>
      <c r="O317" s="116"/>
      <c r="P317" s="115" t="s">
        <v>13</v>
      </c>
      <c r="Q317" s="115" t="s">
        <v>51</v>
      </c>
      <c r="R317" s="115" t="s">
        <v>395</v>
      </c>
      <c r="S317" s="116"/>
      <c r="T317" s="115" t="s">
        <v>50</v>
      </c>
      <c r="U317" s="115" t="s">
        <v>17</v>
      </c>
    </row>
    <row r="318" spans="1:21" s="111" customFormat="1" x14ac:dyDescent="0.25">
      <c r="A318" s="108" t="s">
        <v>54</v>
      </c>
      <c r="B318" s="110" t="s">
        <v>499</v>
      </c>
      <c r="C318" s="120" t="s">
        <v>478</v>
      </c>
      <c r="D318" s="110" t="s">
        <v>491</v>
      </c>
      <c r="E318" s="110">
        <v>9</v>
      </c>
      <c r="F318" s="110"/>
      <c r="G318" s="109" t="s">
        <v>487</v>
      </c>
      <c r="I318" s="16">
        <v>317</v>
      </c>
      <c r="J318" s="112" t="str">
        <f t="shared" si="16"/>
        <v>Опарське ВУПЗГ.ДКС ОПАРИ, КЦ 1-2 ГМК№13.Оберти.ГМК.9.об/хв</v>
      </c>
      <c r="K318" s="120" t="s">
        <v>478</v>
      </c>
      <c r="L318" s="19" t="s">
        <v>487</v>
      </c>
      <c r="M318" s="115" t="s">
        <v>7</v>
      </c>
      <c r="N318" s="115" t="s">
        <v>31</v>
      </c>
      <c r="O318" s="116"/>
      <c r="P318" s="116" t="s">
        <v>8</v>
      </c>
      <c r="Q318" s="116" t="s">
        <v>7</v>
      </c>
      <c r="R318" s="115" t="s">
        <v>395</v>
      </c>
      <c r="S318" s="116"/>
      <c r="T318" s="115" t="s">
        <v>50</v>
      </c>
      <c r="U318" s="115" t="s">
        <v>17</v>
      </c>
    </row>
    <row r="319" spans="1:21" s="111" customFormat="1" x14ac:dyDescent="0.25">
      <c r="A319" s="108" t="s">
        <v>54</v>
      </c>
      <c r="B319" s="110" t="s">
        <v>499</v>
      </c>
      <c r="C319" s="120" t="s">
        <v>479</v>
      </c>
      <c r="D319" s="110" t="s">
        <v>491</v>
      </c>
      <c r="E319" s="110"/>
      <c r="F319" s="110"/>
      <c r="G319" s="110"/>
      <c r="I319" s="16">
        <v>318</v>
      </c>
      <c r="J319" s="112" t="str">
        <f t="shared" si="16"/>
        <v>Опарське ВУПЗГ.ДКС ОПАРИ, КЦ 1-2 ГМК№13.Схема вкл.ГМК.</v>
      </c>
      <c r="K319" s="120" t="s">
        <v>479</v>
      </c>
      <c r="L319" s="116"/>
      <c r="M319" s="115" t="s">
        <v>7</v>
      </c>
      <c r="N319" s="115" t="s">
        <v>31</v>
      </c>
      <c r="O319" s="126" t="s">
        <v>172</v>
      </c>
      <c r="P319" s="116"/>
      <c r="Q319" s="116"/>
      <c r="R319" s="115"/>
      <c r="S319" s="116"/>
      <c r="T319" s="115" t="s">
        <v>50</v>
      </c>
      <c r="U319" s="114" t="s">
        <v>159</v>
      </c>
    </row>
    <row r="320" spans="1:21" s="111" customFormat="1" x14ac:dyDescent="0.25">
      <c r="A320" s="108" t="s">
        <v>54</v>
      </c>
      <c r="B320" s="110" t="s">
        <v>499</v>
      </c>
      <c r="C320" s="120" t="s">
        <v>490</v>
      </c>
      <c r="D320" s="110" t="s">
        <v>491</v>
      </c>
      <c r="E320" s="110"/>
      <c r="F320" s="110"/>
      <c r="G320" s="110"/>
      <c r="I320" s="16">
        <v>319</v>
      </c>
      <c r="J320" s="112" t="str">
        <f t="shared" si="16"/>
        <v>Опарське ВУПЗГ.ДКС ОПАРИ, КЦ 1-2 ГМК№13.Стан.ГМК.</v>
      </c>
      <c r="K320" s="120" t="s">
        <v>490</v>
      </c>
      <c r="L320" s="116"/>
      <c r="M320" s="115" t="s">
        <v>7</v>
      </c>
      <c r="N320" s="115" t="s">
        <v>31</v>
      </c>
      <c r="O320" s="116" t="s">
        <v>50</v>
      </c>
      <c r="P320" s="116"/>
      <c r="Q320" s="116"/>
      <c r="R320" s="115"/>
      <c r="S320" s="116"/>
      <c r="T320" s="115" t="s">
        <v>50</v>
      </c>
      <c r="U320" s="114" t="s">
        <v>159</v>
      </c>
    </row>
    <row r="321" spans="1:21" s="111" customFormat="1" x14ac:dyDescent="0.25">
      <c r="A321" s="108" t="s">
        <v>54</v>
      </c>
      <c r="B321" s="109" t="s">
        <v>500</v>
      </c>
      <c r="C321" s="113" t="s">
        <v>466</v>
      </c>
      <c r="D321" s="110" t="s">
        <v>491</v>
      </c>
      <c r="E321" s="110">
        <v>2</v>
      </c>
      <c r="F321" s="110"/>
      <c r="G321" s="109" t="s">
        <v>333</v>
      </c>
      <c r="I321" s="16">
        <v>320</v>
      </c>
      <c r="J321" s="112" t="str">
        <f t="shared" si="16"/>
        <v>Опарське ВУПЗГ.ДКС ОПАРИ, КЦ 1-2 ГМК№14.Рвх.ГМК.2.P</v>
      </c>
      <c r="K321" s="113" t="s">
        <v>466</v>
      </c>
      <c r="L321" s="114" t="s">
        <v>399</v>
      </c>
      <c r="M321" s="115" t="s">
        <v>7</v>
      </c>
      <c r="N321" s="115" t="s">
        <v>31</v>
      </c>
      <c r="O321" s="116"/>
      <c r="P321" s="115" t="s">
        <v>13</v>
      </c>
      <c r="Q321" s="115" t="s">
        <v>51</v>
      </c>
      <c r="R321" s="115" t="s">
        <v>395</v>
      </c>
      <c r="S321" s="116"/>
      <c r="T321" s="115" t="s">
        <v>50</v>
      </c>
      <c r="U321" s="115" t="s">
        <v>17</v>
      </c>
    </row>
    <row r="322" spans="1:21" s="111" customFormat="1" x14ac:dyDescent="0.25">
      <c r="A322" s="108" t="s">
        <v>54</v>
      </c>
      <c r="B322" s="109" t="s">
        <v>500</v>
      </c>
      <c r="C322" s="113" t="s">
        <v>467</v>
      </c>
      <c r="D322" s="110" t="s">
        <v>491</v>
      </c>
      <c r="E322" s="110">
        <v>3</v>
      </c>
      <c r="F322" s="110"/>
      <c r="G322" s="109" t="s">
        <v>333</v>
      </c>
      <c r="I322" s="16">
        <v>321</v>
      </c>
      <c r="J322" s="112" t="str">
        <f t="shared" si="16"/>
        <v>Опарське ВУПЗГ.ДКС ОПАРИ, КЦ 1-2 ГМК№14.Рвих.ГМК.3.P</v>
      </c>
      <c r="K322" s="113" t="s">
        <v>467</v>
      </c>
      <c r="L322" s="114" t="s">
        <v>399</v>
      </c>
      <c r="M322" s="115" t="s">
        <v>7</v>
      </c>
      <c r="N322" s="115" t="s">
        <v>31</v>
      </c>
      <c r="O322" s="116"/>
      <c r="P322" s="115" t="s">
        <v>13</v>
      </c>
      <c r="Q322" s="115" t="s">
        <v>51</v>
      </c>
      <c r="R322" s="115" t="s">
        <v>395</v>
      </c>
      <c r="S322" s="116"/>
      <c r="T322" s="115" t="s">
        <v>50</v>
      </c>
      <c r="U322" s="115" t="s">
        <v>17</v>
      </c>
    </row>
    <row r="323" spans="1:21" s="111" customFormat="1" x14ac:dyDescent="0.25">
      <c r="A323" s="108" t="s">
        <v>54</v>
      </c>
      <c r="B323" s="109" t="s">
        <v>500</v>
      </c>
      <c r="C323" s="113" t="s">
        <v>485</v>
      </c>
      <c r="D323" s="110" t="s">
        <v>491</v>
      </c>
      <c r="E323" s="110">
        <v>4</v>
      </c>
      <c r="F323" s="110"/>
      <c r="G323" s="109"/>
      <c r="I323" s="16">
        <v>322</v>
      </c>
      <c r="J323" s="112" t="str">
        <f t="shared" si="16"/>
        <v>Опарське ВУПЗГ.ДКС ОПАРИ, КЦ 1-2 ГМК№14.Е.ГМК.4.</v>
      </c>
      <c r="K323" s="113" t="s">
        <v>485</v>
      </c>
      <c r="L323" s="116"/>
      <c r="M323" s="115" t="s">
        <v>7</v>
      </c>
      <c r="N323" s="115" t="s">
        <v>31</v>
      </c>
      <c r="O323" s="116"/>
      <c r="P323" s="115" t="s">
        <v>13</v>
      </c>
      <c r="Q323" s="115" t="s">
        <v>51</v>
      </c>
      <c r="R323" s="115" t="s">
        <v>395</v>
      </c>
      <c r="S323" s="126" t="s">
        <v>564</v>
      </c>
      <c r="T323" s="115" t="s">
        <v>50</v>
      </c>
      <c r="U323" s="115" t="s">
        <v>17</v>
      </c>
    </row>
    <row r="324" spans="1:21" s="111" customFormat="1" x14ac:dyDescent="0.25">
      <c r="A324" s="108" t="s">
        <v>54</v>
      </c>
      <c r="B324" s="109" t="s">
        <v>500</v>
      </c>
      <c r="C324" s="113" t="s">
        <v>469</v>
      </c>
      <c r="D324" s="110" t="s">
        <v>491</v>
      </c>
      <c r="E324" s="110">
        <v>5</v>
      </c>
      <c r="F324" s="110"/>
      <c r="G324" s="109" t="s">
        <v>165</v>
      </c>
      <c r="I324" s="16">
        <v>323</v>
      </c>
      <c r="J324" s="112" t="str">
        <f t="shared" si="16"/>
        <v>Опарське ВУПЗГ.ДКС ОПАРИ, КЦ 1-2 ГМК№14.Твх.ГМК.5.T</v>
      </c>
      <c r="K324" s="113" t="s">
        <v>469</v>
      </c>
      <c r="L324" s="117" t="s">
        <v>157</v>
      </c>
      <c r="M324" s="115" t="s">
        <v>7</v>
      </c>
      <c r="N324" s="115" t="s">
        <v>31</v>
      </c>
      <c r="O324" s="116"/>
      <c r="P324" s="115" t="s">
        <v>13</v>
      </c>
      <c r="Q324" s="115" t="s">
        <v>51</v>
      </c>
      <c r="R324" s="115" t="s">
        <v>395</v>
      </c>
      <c r="S324" s="116"/>
      <c r="T324" s="115" t="s">
        <v>50</v>
      </c>
      <c r="U324" s="115" t="s">
        <v>17</v>
      </c>
    </row>
    <row r="325" spans="1:21" s="111" customFormat="1" x14ac:dyDescent="0.25">
      <c r="A325" s="108" t="s">
        <v>54</v>
      </c>
      <c r="B325" s="109" t="s">
        <v>500</v>
      </c>
      <c r="C325" s="113" t="s">
        <v>470</v>
      </c>
      <c r="D325" s="110" t="s">
        <v>491</v>
      </c>
      <c r="E325" s="110">
        <v>6</v>
      </c>
      <c r="F325" s="110"/>
      <c r="G325" s="109" t="s">
        <v>165</v>
      </c>
      <c r="I325" s="16">
        <v>324</v>
      </c>
      <c r="J325" s="112" t="str">
        <f t="shared" ref="J325:J356" si="17">CONCATENATE(IF(ISBLANK(A325),"",A325&amp;CHAR(46)), IF(ISBLANK(B325),"",B325&amp;CHAR(46)), IF(ISBLANK(C325),"",C325&amp;CHAR(46)),IF(ISBLANK(D325),"",D325&amp;CHAR(46)), IF(ISBLANK(E325),"",E325&amp;CHAR(46)),IF(ISBLANK(F325),"",F325&amp;CHAR(46)),IF(ISBLANK(G325),"",G325) )</f>
        <v>Опарське ВУПЗГ.ДКС ОПАРИ, КЦ 1-2 ГМК№14.Твих.ГМК.6.T</v>
      </c>
      <c r="K325" s="113" t="s">
        <v>470</v>
      </c>
      <c r="L325" s="117" t="s">
        <v>157</v>
      </c>
      <c r="M325" s="115" t="s">
        <v>7</v>
      </c>
      <c r="N325" s="115" t="s">
        <v>31</v>
      </c>
      <c r="O325" s="116"/>
      <c r="P325" s="115" t="s">
        <v>13</v>
      </c>
      <c r="Q325" s="115" t="s">
        <v>51</v>
      </c>
      <c r="R325" s="115" t="s">
        <v>395</v>
      </c>
      <c r="S325" s="116"/>
      <c r="T325" s="115" t="s">
        <v>50</v>
      </c>
      <c r="U325" s="115" t="s">
        <v>17</v>
      </c>
    </row>
    <row r="326" spans="1:21" s="111" customFormat="1" x14ac:dyDescent="0.25">
      <c r="A326" s="108" t="s">
        <v>54</v>
      </c>
      <c r="B326" s="109" t="s">
        <v>500</v>
      </c>
      <c r="C326" s="113" t="s">
        <v>471</v>
      </c>
      <c r="D326" s="110" t="s">
        <v>491</v>
      </c>
      <c r="E326" s="110">
        <v>7</v>
      </c>
      <c r="F326" s="110"/>
      <c r="G326" s="109" t="s">
        <v>165</v>
      </c>
      <c r="I326" s="16">
        <v>325</v>
      </c>
      <c r="J326" s="112" t="str">
        <f t="shared" si="17"/>
        <v>Опарське ВУПЗГ.ДКС ОПАРИ, КЦ 1-2 ГМК№14.Тапо.ГМК.7.T</v>
      </c>
      <c r="K326" s="113" t="s">
        <v>471</v>
      </c>
      <c r="L326" s="117" t="s">
        <v>157</v>
      </c>
      <c r="M326" s="115" t="s">
        <v>7</v>
      </c>
      <c r="N326" s="115" t="s">
        <v>31</v>
      </c>
      <c r="O326" s="116"/>
      <c r="P326" s="115" t="s">
        <v>13</v>
      </c>
      <c r="Q326" s="115" t="s">
        <v>51</v>
      </c>
      <c r="R326" s="115" t="s">
        <v>395</v>
      </c>
      <c r="S326" s="116"/>
      <c r="T326" s="115" t="s">
        <v>50</v>
      </c>
      <c r="U326" s="115" t="s">
        <v>17</v>
      </c>
    </row>
    <row r="327" spans="1:21" s="111" customFormat="1" x14ac:dyDescent="0.25">
      <c r="A327" s="108" t="s">
        <v>54</v>
      </c>
      <c r="B327" s="109" t="s">
        <v>500</v>
      </c>
      <c r="C327" s="120" t="s">
        <v>507</v>
      </c>
      <c r="D327" s="110" t="s">
        <v>491</v>
      </c>
      <c r="E327" s="110">
        <v>8</v>
      </c>
      <c r="F327" s="110"/>
      <c r="G327" s="109" t="s">
        <v>168</v>
      </c>
      <c r="I327" s="16">
        <v>326</v>
      </c>
      <c r="J327" s="112" t="str">
        <f t="shared" si="17"/>
        <v>Опарське ВУПЗГ.ДКС ОПАРИ, КЦ 1-2 ГМК№14.Перекачка.ГМК.8.Q</v>
      </c>
      <c r="K327" s="120" t="s">
        <v>507</v>
      </c>
      <c r="L327" s="20" t="s">
        <v>158</v>
      </c>
      <c r="M327" s="115" t="s">
        <v>7</v>
      </c>
      <c r="N327" s="115" t="s">
        <v>31</v>
      </c>
      <c r="O327" s="116"/>
      <c r="P327" s="115" t="s">
        <v>13</v>
      </c>
      <c r="Q327" s="115" t="s">
        <v>51</v>
      </c>
      <c r="R327" s="115" t="s">
        <v>395</v>
      </c>
      <c r="S327" s="116"/>
      <c r="T327" s="115" t="s">
        <v>50</v>
      </c>
      <c r="U327" s="115" t="s">
        <v>17</v>
      </c>
    </row>
    <row r="328" spans="1:21" s="111" customFormat="1" x14ac:dyDescent="0.25">
      <c r="A328" s="108" t="s">
        <v>54</v>
      </c>
      <c r="B328" s="110" t="s">
        <v>500</v>
      </c>
      <c r="C328" s="120" t="s">
        <v>478</v>
      </c>
      <c r="D328" s="110" t="s">
        <v>491</v>
      </c>
      <c r="E328" s="110">
        <v>9</v>
      </c>
      <c r="F328" s="110"/>
      <c r="G328" s="109" t="s">
        <v>487</v>
      </c>
      <c r="I328" s="16">
        <v>327</v>
      </c>
      <c r="J328" s="112" t="str">
        <f t="shared" si="17"/>
        <v>Опарське ВУПЗГ.ДКС ОПАРИ, КЦ 1-2 ГМК№14.Оберти.ГМК.9.об/хв</v>
      </c>
      <c r="K328" s="120" t="s">
        <v>478</v>
      </c>
      <c r="L328" s="19" t="s">
        <v>487</v>
      </c>
      <c r="M328" s="115" t="s">
        <v>7</v>
      </c>
      <c r="N328" s="115" t="s">
        <v>31</v>
      </c>
      <c r="O328" s="116"/>
      <c r="P328" s="116" t="s">
        <v>8</v>
      </c>
      <c r="Q328" s="116" t="s">
        <v>7</v>
      </c>
      <c r="R328" s="115" t="s">
        <v>395</v>
      </c>
      <c r="S328" s="116"/>
      <c r="T328" s="115" t="s">
        <v>50</v>
      </c>
      <c r="U328" s="115" t="s">
        <v>17</v>
      </c>
    </row>
    <row r="329" spans="1:21" s="111" customFormat="1" x14ac:dyDescent="0.25">
      <c r="A329" s="108" t="s">
        <v>54</v>
      </c>
      <c r="B329" s="110" t="s">
        <v>500</v>
      </c>
      <c r="C329" s="120" t="s">
        <v>479</v>
      </c>
      <c r="D329" s="110" t="s">
        <v>491</v>
      </c>
      <c r="E329" s="110"/>
      <c r="F329" s="110"/>
      <c r="G329" s="110"/>
      <c r="I329" s="16">
        <v>328</v>
      </c>
      <c r="J329" s="112" t="str">
        <f t="shared" si="17"/>
        <v>Опарське ВУПЗГ.ДКС ОПАРИ, КЦ 1-2 ГМК№14.Схема вкл.ГМК.</v>
      </c>
      <c r="K329" s="120" t="s">
        <v>479</v>
      </c>
      <c r="L329" s="116"/>
      <c r="M329" s="115" t="s">
        <v>7</v>
      </c>
      <c r="N329" s="115" t="s">
        <v>31</v>
      </c>
      <c r="O329" s="126" t="s">
        <v>172</v>
      </c>
      <c r="P329" s="116"/>
      <c r="Q329" s="116"/>
      <c r="R329" s="115"/>
      <c r="S329" s="116"/>
      <c r="T329" s="115" t="s">
        <v>50</v>
      </c>
      <c r="U329" s="114" t="s">
        <v>159</v>
      </c>
    </row>
    <row r="330" spans="1:21" s="111" customFormat="1" x14ac:dyDescent="0.25">
      <c r="A330" s="108" t="s">
        <v>54</v>
      </c>
      <c r="B330" s="110" t="s">
        <v>500</v>
      </c>
      <c r="C330" s="120" t="s">
        <v>490</v>
      </c>
      <c r="D330" s="110" t="s">
        <v>491</v>
      </c>
      <c r="E330" s="110"/>
      <c r="F330" s="110"/>
      <c r="G330" s="110"/>
      <c r="I330" s="16">
        <v>329</v>
      </c>
      <c r="J330" s="112" t="str">
        <f t="shared" si="17"/>
        <v>Опарське ВУПЗГ.ДКС ОПАРИ, КЦ 1-2 ГМК№14.Стан.ГМК.</v>
      </c>
      <c r="K330" s="120" t="s">
        <v>490</v>
      </c>
      <c r="L330" s="116"/>
      <c r="M330" s="115" t="s">
        <v>7</v>
      </c>
      <c r="N330" s="115" t="s">
        <v>31</v>
      </c>
      <c r="O330" s="116" t="s">
        <v>50</v>
      </c>
      <c r="P330" s="116"/>
      <c r="Q330" s="116"/>
      <c r="R330" s="115"/>
      <c r="S330" s="116"/>
      <c r="T330" s="115" t="s">
        <v>50</v>
      </c>
      <c r="U330" s="114" t="s">
        <v>159</v>
      </c>
    </row>
    <row r="331" spans="1:21" s="111" customFormat="1" x14ac:dyDescent="0.25">
      <c r="A331" s="108" t="s">
        <v>54</v>
      </c>
      <c r="B331" s="109" t="s">
        <v>501</v>
      </c>
      <c r="C331" s="113" t="s">
        <v>466</v>
      </c>
      <c r="D331" s="110" t="s">
        <v>491</v>
      </c>
      <c r="E331" s="110">
        <v>2</v>
      </c>
      <c r="F331" s="110"/>
      <c r="G331" s="109" t="s">
        <v>333</v>
      </c>
      <c r="I331" s="16">
        <v>330</v>
      </c>
      <c r="J331" s="112" t="str">
        <f t="shared" si="17"/>
        <v>Опарське ВУПЗГ.ДКС ОПАРИ, КЦ 1-2 ГМК№16.Рвх.ГМК.2.P</v>
      </c>
      <c r="K331" s="113" t="s">
        <v>466</v>
      </c>
      <c r="L331" s="114" t="s">
        <v>399</v>
      </c>
      <c r="M331" s="115" t="s">
        <v>7</v>
      </c>
      <c r="N331" s="115" t="s">
        <v>31</v>
      </c>
      <c r="O331" s="116"/>
      <c r="P331" s="115" t="s">
        <v>13</v>
      </c>
      <c r="Q331" s="115" t="s">
        <v>51</v>
      </c>
      <c r="R331" s="115" t="s">
        <v>395</v>
      </c>
      <c r="S331" s="116"/>
      <c r="T331" s="115" t="s">
        <v>50</v>
      </c>
      <c r="U331" s="115" t="s">
        <v>17</v>
      </c>
    </row>
    <row r="332" spans="1:21" s="111" customFormat="1" x14ac:dyDescent="0.25">
      <c r="A332" s="108" t="s">
        <v>54</v>
      </c>
      <c r="B332" s="109" t="s">
        <v>501</v>
      </c>
      <c r="C332" s="113" t="s">
        <v>467</v>
      </c>
      <c r="D332" s="110" t="s">
        <v>491</v>
      </c>
      <c r="E332" s="110">
        <v>3</v>
      </c>
      <c r="F332" s="110"/>
      <c r="G332" s="109" t="s">
        <v>333</v>
      </c>
      <c r="I332" s="16">
        <v>331</v>
      </c>
      <c r="J332" s="112" t="str">
        <f t="shared" si="17"/>
        <v>Опарське ВУПЗГ.ДКС ОПАРИ, КЦ 1-2 ГМК№16.Рвих.ГМК.3.P</v>
      </c>
      <c r="K332" s="113" t="s">
        <v>467</v>
      </c>
      <c r="L332" s="114" t="s">
        <v>399</v>
      </c>
      <c r="M332" s="115" t="s">
        <v>7</v>
      </c>
      <c r="N332" s="115" t="s">
        <v>31</v>
      </c>
      <c r="O332" s="116"/>
      <c r="P332" s="115" t="s">
        <v>13</v>
      </c>
      <c r="Q332" s="115" t="s">
        <v>51</v>
      </c>
      <c r="R332" s="115" t="s">
        <v>395</v>
      </c>
      <c r="S332" s="116"/>
      <c r="T332" s="115" t="s">
        <v>50</v>
      </c>
      <c r="U332" s="115" t="s">
        <v>17</v>
      </c>
    </row>
    <row r="333" spans="1:21" s="111" customFormat="1" x14ac:dyDescent="0.25">
      <c r="A333" s="108" t="s">
        <v>54</v>
      </c>
      <c r="B333" s="109" t="s">
        <v>501</v>
      </c>
      <c r="C333" s="113" t="s">
        <v>485</v>
      </c>
      <c r="D333" s="110" t="s">
        <v>491</v>
      </c>
      <c r="E333" s="110">
        <v>4</v>
      </c>
      <c r="F333" s="110"/>
      <c r="G333" s="109"/>
      <c r="I333" s="16">
        <v>332</v>
      </c>
      <c r="J333" s="112" t="str">
        <f t="shared" si="17"/>
        <v>Опарське ВУПЗГ.ДКС ОПАРИ, КЦ 1-2 ГМК№16.Е.ГМК.4.</v>
      </c>
      <c r="K333" s="113" t="s">
        <v>485</v>
      </c>
      <c r="L333" s="116"/>
      <c r="M333" s="115" t="s">
        <v>7</v>
      </c>
      <c r="N333" s="115" t="s">
        <v>31</v>
      </c>
      <c r="O333" s="116"/>
      <c r="P333" s="115" t="s">
        <v>13</v>
      </c>
      <c r="Q333" s="115" t="s">
        <v>51</v>
      </c>
      <c r="R333" s="115" t="s">
        <v>395</v>
      </c>
      <c r="S333" s="126" t="s">
        <v>565</v>
      </c>
      <c r="T333" s="115" t="s">
        <v>50</v>
      </c>
      <c r="U333" s="115" t="s">
        <v>17</v>
      </c>
    </row>
    <row r="334" spans="1:21" s="111" customFormat="1" x14ac:dyDescent="0.25">
      <c r="A334" s="108" t="s">
        <v>54</v>
      </c>
      <c r="B334" s="109" t="s">
        <v>501</v>
      </c>
      <c r="C334" s="113" t="s">
        <v>469</v>
      </c>
      <c r="D334" s="110" t="s">
        <v>491</v>
      </c>
      <c r="E334" s="110">
        <v>5</v>
      </c>
      <c r="F334" s="110"/>
      <c r="G334" s="109" t="s">
        <v>165</v>
      </c>
      <c r="I334" s="16">
        <v>333</v>
      </c>
      <c r="J334" s="112" t="str">
        <f t="shared" si="17"/>
        <v>Опарське ВУПЗГ.ДКС ОПАРИ, КЦ 1-2 ГМК№16.Твх.ГМК.5.T</v>
      </c>
      <c r="K334" s="113" t="s">
        <v>469</v>
      </c>
      <c r="L334" s="117" t="s">
        <v>157</v>
      </c>
      <c r="M334" s="115" t="s">
        <v>7</v>
      </c>
      <c r="N334" s="115" t="s">
        <v>31</v>
      </c>
      <c r="O334" s="116"/>
      <c r="P334" s="115" t="s">
        <v>13</v>
      </c>
      <c r="Q334" s="115" t="s">
        <v>51</v>
      </c>
      <c r="R334" s="115" t="s">
        <v>395</v>
      </c>
      <c r="S334" s="116"/>
      <c r="T334" s="115" t="s">
        <v>50</v>
      </c>
      <c r="U334" s="115" t="s">
        <v>17</v>
      </c>
    </row>
    <row r="335" spans="1:21" s="111" customFormat="1" x14ac:dyDescent="0.25">
      <c r="A335" s="108" t="s">
        <v>54</v>
      </c>
      <c r="B335" s="109" t="s">
        <v>501</v>
      </c>
      <c r="C335" s="113" t="s">
        <v>470</v>
      </c>
      <c r="D335" s="110" t="s">
        <v>491</v>
      </c>
      <c r="E335" s="110">
        <v>6</v>
      </c>
      <c r="F335" s="110"/>
      <c r="G335" s="109" t="s">
        <v>165</v>
      </c>
      <c r="I335" s="16">
        <v>334</v>
      </c>
      <c r="J335" s="112" t="str">
        <f t="shared" si="17"/>
        <v>Опарське ВУПЗГ.ДКС ОПАРИ, КЦ 1-2 ГМК№16.Твих.ГМК.6.T</v>
      </c>
      <c r="K335" s="113" t="s">
        <v>470</v>
      </c>
      <c r="L335" s="117" t="s">
        <v>157</v>
      </c>
      <c r="M335" s="115" t="s">
        <v>7</v>
      </c>
      <c r="N335" s="115" t="s">
        <v>31</v>
      </c>
      <c r="O335" s="116"/>
      <c r="P335" s="115" t="s">
        <v>13</v>
      </c>
      <c r="Q335" s="115" t="s">
        <v>51</v>
      </c>
      <c r="R335" s="115" t="s">
        <v>395</v>
      </c>
      <c r="S335" s="116"/>
      <c r="T335" s="115" t="s">
        <v>50</v>
      </c>
      <c r="U335" s="115" t="s">
        <v>17</v>
      </c>
    </row>
    <row r="336" spans="1:21" s="111" customFormat="1" x14ac:dyDescent="0.25">
      <c r="A336" s="108" t="s">
        <v>54</v>
      </c>
      <c r="B336" s="109" t="s">
        <v>501</v>
      </c>
      <c r="C336" s="113" t="s">
        <v>471</v>
      </c>
      <c r="D336" s="110" t="s">
        <v>491</v>
      </c>
      <c r="E336" s="110">
        <v>7</v>
      </c>
      <c r="F336" s="110"/>
      <c r="G336" s="109" t="s">
        <v>165</v>
      </c>
      <c r="I336" s="16">
        <v>335</v>
      </c>
      <c r="J336" s="112" t="str">
        <f t="shared" si="17"/>
        <v>Опарське ВУПЗГ.ДКС ОПАРИ, КЦ 1-2 ГМК№16.Тапо.ГМК.7.T</v>
      </c>
      <c r="K336" s="113" t="s">
        <v>471</v>
      </c>
      <c r="L336" s="117" t="s">
        <v>157</v>
      </c>
      <c r="M336" s="115" t="s">
        <v>7</v>
      </c>
      <c r="N336" s="115" t="s">
        <v>31</v>
      </c>
      <c r="O336" s="116"/>
      <c r="P336" s="115" t="s">
        <v>13</v>
      </c>
      <c r="Q336" s="115" t="s">
        <v>51</v>
      </c>
      <c r="R336" s="115" t="s">
        <v>395</v>
      </c>
      <c r="S336" s="116"/>
      <c r="T336" s="115" t="s">
        <v>50</v>
      </c>
      <c r="U336" s="115" t="s">
        <v>17</v>
      </c>
    </row>
    <row r="337" spans="1:21" s="111" customFormat="1" x14ac:dyDescent="0.25">
      <c r="A337" s="108" t="s">
        <v>54</v>
      </c>
      <c r="B337" s="109" t="s">
        <v>501</v>
      </c>
      <c r="C337" s="120" t="s">
        <v>507</v>
      </c>
      <c r="D337" s="110" t="s">
        <v>491</v>
      </c>
      <c r="E337" s="110">
        <v>8</v>
      </c>
      <c r="F337" s="110"/>
      <c r="G337" s="109" t="s">
        <v>168</v>
      </c>
      <c r="I337" s="16">
        <v>336</v>
      </c>
      <c r="J337" s="112" t="str">
        <f t="shared" si="17"/>
        <v>Опарське ВУПЗГ.ДКС ОПАРИ, КЦ 1-2 ГМК№16.Перекачка.ГМК.8.Q</v>
      </c>
      <c r="K337" s="120" t="s">
        <v>507</v>
      </c>
      <c r="L337" s="20" t="s">
        <v>158</v>
      </c>
      <c r="M337" s="115" t="s">
        <v>7</v>
      </c>
      <c r="N337" s="115" t="s">
        <v>31</v>
      </c>
      <c r="O337" s="116"/>
      <c r="P337" s="115" t="s">
        <v>13</v>
      </c>
      <c r="Q337" s="115" t="s">
        <v>51</v>
      </c>
      <c r="R337" s="115" t="s">
        <v>395</v>
      </c>
      <c r="S337" s="116"/>
      <c r="T337" s="115" t="s">
        <v>50</v>
      </c>
      <c r="U337" s="115" t="s">
        <v>17</v>
      </c>
    </row>
    <row r="338" spans="1:21" s="111" customFormat="1" x14ac:dyDescent="0.25">
      <c r="A338" s="108" t="s">
        <v>54</v>
      </c>
      <c r="B338" s="110" t="s">
        <v>501</v>
      </c>
      <c r="C338" s="120" t="s">
        <v>478</v>
      </c>
      <c r="D338" s="110" t="s">
        <v>491</v>
      </c>
      <c r="E338" s="110">
        <v>9</v>
      </c>
      <c r="F338" s="110"/>
      <c r="G338" s="109" t="s">
        <v>487</v>
      </c>
      <c r="I338" s="16">
        <v>337</v>
      </c>
      <c r="J338" s="112" t="str">
        <f t="shared" si="17"/>
        <v>Опарське ВУПЗГ.ДКС ОПАРИ, КЦ 1-2 ГМК№16.Оберти.ГМК.9.об/хв</v>
      </c>
      <c r="K338" s="120" t="s">
        <v>478</v>
      </c>
      <c r="L338" s="19" t="s">
        <v>487</v>
      </c>
      <c r="M338" s="115" t="s">
        <v>7</v>
      </c>
      <c r="N338" s="115" t="s">
        <v>31</v>
      </c>
      <c r="O338" s="116"/>
      <c r="P338" s="116" t="s">
        <v>8</v>
      </c>
      <c r="Q338" s="116" t="s">
        <v>7</v>
      </c>
      <c r="R338" s="115" t="s">
        <v>395</v>
      </c>
      <c r="S338" s="116"/>
      <c r="T338" s="115" t="s">
        <v>50</v>
      </c>
      <c r="U338" s="115" t="s">
        <v>17</v>
      </c>
    </row>
    <row r="339" spans="1:21" s="111" customFormat="1" x14ac:dyDescent="0.25">
      <c r="A339" s="108" t="s">
        <v>54</v>
      </c>
      <c r="B339" s="110" t="s">
        <v>501</v>
      </c>
      <c r="C339" s="120" t="s">
        <v>479</v>
      </c>
      <c r="D339" s="110" t="s">
        <v>491</v>
      </c>
      <c r="E339" s="110"/>
      <c r="F339" s="110"/>
      <c r="G339" s="110"/>
      <c r="I339" s="16">
        <v>338</v>
      </c>
      <c r="J339" s="112" t="str">
        <f t="shared" si="17"/>
        <v>Опарське ВУПЗГ.ДКС ОПАРИ, КЦ 1-2 ГМК№16.Схема вкл.ГМК.</v>
      </c>
      <c r="K339" s="120" t="s">
        <v>479</v>
      </c>
      <c r="L339" s="116"/>
      <c r="M339" s="115" t="s">
        <v>7</v>
      </c>
      <c r="N339" s="115" t="s">
        <v>31</v>
      </c>
      <c r="O339" s="126" t="s">
        <v>172</v>
      </c>
      <c r="P339" s="116"/>
      <c r="Q339" s="116"/>
      <c r="R339" s="115"/>
      <c r="S339" s="116"/>
      <c r="T339" s="115" t="s">
        <v>50</v>
      </c>
      <c r="U339" s="114" t="s">
        <v>159</v>
      </c>
    </row>
    <row r="340" spans="1:21" s="111" customFormat="1" x14ac:dyDescent="0.25">
      <c r="A340" s="108" t="s">
        <v>54</v>
      </c>
      <c r="B340" s="110" t="s">
        <v>501</v>
      </c>
      <c r="C340" s="120" t="s">
        <v>490</v>
      </c>
      <c r="D340" s="110" t="s">
        <v>491</v>
      </c>
      <c r="E340" s="110"/>
      <c r="F340" s="110"/>
      <c r="G340" s="110"/>
      <c r="I340" s="16">
        <v>339</v>
      </c>
      <c r="J340" s="112" t="str">
        <f t="shared" si="17"/>
        <v>Опарське ВУПЗГ.ДКС ОПАРИ, КЦ 1-2 ГМК№16.Стан.ГМК.</v>
      </c>
      <c r="K340" s="120" t="s">
        <v>490</v>
      </c>
      <c r="L340" s="116"/>
      <c r="M340" s="115" t="s">
        <v>7</v>
      </c>
      <c r="N340" s="115" t="s">
        <v>31</v>
      </c>
      <c r="O340" s="116" t="s">
        <v>50</v>
      </c>
      <c r="P340" s="116"/>
      <c r="Q340" s="116"/>
      <c r="R340" s="115"/>
      <c r="S340" s="116"/>
      <c r="T340" s="115" t="s">
        <v>50</v>
      </c>
      <c r="U340" s="114" t="s">
        <v>159</v>
      </c>
    </row>
    <row r="341" spans="1:21" s="111" customFormat="1" x14ac:dyDescent="0.25">
      <c r="A341" s="108" t="s">
        <v>54</v>
      </c>
      <c r="B341" s="109" t="s">
        <v>502</v>
      </c>
      <c r="C341" s="113" t="s">
        <v>466</v>
      </c>
      <c r="D341" s="110" t="s">
        <v>491</v>
      </c>
      <c r="E341" s="110">
        <v>2</v>
      </c>
      <c r="F341" s="110"/>
      <c r="G341" s="109" t="s">
        <v>333</v>
      </c>
      <c r="I341" s="16">
        <v>340</v>
      </c>
      <c r="J341" s="112" t="str">
        <f t="shared" si="17"/>
        <v>Опарське ВУПЗГ.ДКС ОПАРИ, КЦ 1-2 ГМК№17.Рвх.ГМК.2.P</v>
      </c>
      <c r="K341" s="113" t="s">
        <v>466</v>
      </c>
      <c r="L341" s="114" t="s">
        <v>399</v>
      </c>
      <c r="M341" s="115" t="s">
        <v>7</v>
      </c>
      <c r="N341" s="115" t="s">
        <v>31</v>
      </c>
      <c r="O341" s="116"/>
      <c r="P341" s="115" t="s">
        <v>13</v>
      </c>
      <c r="Q341" s="115" t="s">
        <v>51</v>
      </c>
      <c r="R341" s="115" t="s">
        <v>395</v>
      </c>
      <c r="S341" s="116"/>
      <c r="T341" s="115" t="s">
        <v>50</v>
      </c>
      <c r="U341" s="115" t="s">
        <v>17</v>
      </c>
    </row>
    <row r="342" spans="1:21" s="111" customFormat="1" x14ac:dyDescent="0.25">
      <c r="A342" s="108" t="s">
        <v>54</v>
      </c>
      <c r="B342" s="109" t="s">
        <v>502</v>
      </c>
      <c r="C342" s="113" t="s">
        <v>467</v>
      </c>
      <c r="D342" s="110" t="s">
        <v>491</v>
      </c>
      <c r="E342" s="110">
        <v>3</v>
      </c>
      <c r="F342" s="110"/>
      <c r="G342" s="109" t="s">
        <v>333</v>
      </c>
      <c r="I342" s="16">
        <v>341</v>
      </c>
      <c r="J342" s="112" t="str">
        <f t="shared" si="17"/>
        <v>Опарське ВУПЗГ.ДКС ОПАРИ, КЦ 1-2 ГМК№17.Рвих.ГМК.3.P</v>
      </c>
      <c r="K342" s="113" t="s">
        <v>467</v>
      </c>
      <c r="L342" s="114" t="s">
        <v>399</v>
      </c>
      <c r="M342" s="115" t="s">
        <v>7</v>
      </c>
      <c r="N342" s="115" t="s">
        <v>31</v>
      </c>
      <c r="O342" s="116"/>
      <c r="P342" s="115" t="s">
        <v>13</v>
      </c>
      <c r="Q342" s="115" t="s">
        <v>51</v>
      </c>
      <c r="R342" s="115" t="s">
        <v>395</v>
      </c>
      <c r="S342" s="116"/>
      <c r="T342" s="115" t="s">
        <v>50</v>
      </c>
      <c r="U342" s="115" t="s">
        <v>17</v>
      </c>
    </row>
    <row r="343" spans="1:21" s="111" customFormat="1" x14ac:dyDescent="0.25">
      <c r="A343" s="108" t="s">
        <v>54</v>
      </c>
      <c r="B343" s="109" t="s">
        <v>502</v>
      </c>
      <c r="C343" s="113" t="s">
        <v>485</v>
      </c>
      <c r="D343" s="110" t="s">
        <v>491</v>
      </c>
      <c r="E343" s="110">
        <v>4</v>
      </c>
      <c r="F343" s="110"/>
      <c r="G343" s="109"/>
      <c r="I343" s="16">
        <v>342</v>
      </c>
      <c r="J343" s="112" t="str">
        <f t="shared" si="17"/>
        <v>Опарське ВУПЗГ.ДКС ОПАРИ, КЦ 1-2 ГМК№17.Е.ГМК.4.</v>
      </c>
      <c r="K343" s="113" t="s">
        <v>485</v>
      </c>
      <c r="L343" s="116"/>
      <c r="M343" s="115" t="s">
        <v>7</v>
      </c>
      <c r="N343" s="115" t="s">
        <v>31</v>
      </c>
      <c r="O343" s="116"/>
      <c r="P343" s="115" t="s">
        <v>13</v>
      </c>
      <c r="Q343" s="115" t="s">
        <v>51</v>
      </c>
      <c r="R343" s="115" t="s">
        <v>395</v>
      </c>
      <c r="S343" s="126" t="s">
        <v>566</v>
      </c>
      <c r="T343" s="115" t="s">
        <v>50</v>
      </c>
      <c r="U343" s="115" t="s">
        <v>17</v>
      </c>
    </row>
    <row r="344" spans="1:21" s="111" customFormat="1" x14ac:dyDescent="0.25">
      <c r="A344" s="108" t="s">
        <v>54</v>
      </c>
      <c r="B344" s="109" t="s">
        <v>502</v>
      </c>
      <c r="C344" s="113" t="s">
        <v>469</v>
      </c>
      <c r="D344" s="110" t="s">
        <v>491</v>
      </c>
      <c r="E344" s="110">
        <v>5</v>
      </c>
      <c r="F344" s="110"/>
      <c r="G344" s="109" t="s">
        <v>165</v>
      </c>
      <c r="I344" s="16">
        <v>343</v>
      </c>
      <c r="J344" s="112" t="str">
        <f t="shared" si="17"/>
        <v>Опарське ВУПЗГ.ДКС ОПАРИ, КЦ 1-2 ГМК№17.Твх.ГМК.5.T</v>
      </c>
      <c r="K344" s="113" t="s">
        <v>469</v>
      </c>
      <c r="L344" s="117" t="s">
        <v>157</v>
      </c>
      <c r="M344" s="115" t="s">
        <v>7</v>
      </c>
      <c r="N344" s="115" t="s">
        <v>31</v>
      </c>
      <c r="O344" s="116"/>
      <c r="P344" s="115" t="s">
        <v>13</v>
      </c>
      <c r="Q344" s="115" t="s">
        <v>51</v>
      </c>
      <c r="R344" s="115" t="s">
        <v>395</v>
      </c>
      <c r="S344" s="116"/>
      <c r="T344" s="115" t="s">
        <v>50</v>
      </c>
      <c r="U344" s="115" t="s">
        <v>17</v>
      </c>
    </row>
    <row r="345" spans="1:21" s="111" customFormat="1" x14ac:dyDescent="0.25">
      <c r="A345" s="108" t="s">
        <v>54</v>
      </c>
      <c r="B345" s="109" t="s">
        <v>502</v>
      </c>
      <c r="C345" s="113" t="s">
        <v>470</v>
      </c>
      <c r="D345" s="110" t="s">
        <v>491</v>
      </c>
      <c r="E345" s="110">
        <v>6</v>
      </c>
      <c r="F345" s="110"/>
      <c r="G345" s="109" t="s">
        <v>165</v>
      </c>
      <c r="I345" s="16">
        <v>344</v>
      </c>
      <c r="J345" s="112" t="str">
        <f t="shared" si="17"/>
        <v>Опарське ВУПЗГ.ДКС ОПАРИ, КЦ 1-2 ГМК№17.Твих.ГМК.6.T</v>
      </c>
      <c r="K345" s="113" t="s">
        <v>470</v>
      </c>
      <c r="L345" s="117" t="s">
        <v>157</v>
      </c>
      <c r="M345" s="115" t="s">
        <v>7</v>
      </c>
      <c r="N345" s="115" t="s">
        <v>31</v>
      </c>
      <c r="O345" s="116"/>
      <c r="P345" s="115" t="s">
        <v>13</v>
      </c>
      <c r="Q345" s="115" t="s">
        <v>51</v>
      </c>
      <c r="R345" s="115" t="s">
        <v>395</v>
      </c>
      <c r="S345" s="116"/>
      <c r="T345" s="115" t="s">
        <v>50</v>
      </c>
      <c r="U345" s="115" t="s">
        <v>17</v>
      </c>
    </row>
    <row r="346" spans="1:21" s="111" customFormat="1" x14ac:dyDescent="0.25">
      <c r="A346" s="108" t="s">
        <v>54</v>
      </c>
      <c r="B346" s="109" t="s">
        <v>502</v>
      </c>
      <c r="C346" s="113" t="s">
        <v>471</v>
      </c>
      <c r="D346" s="110" t="s">
        <v>491</v>
      </c>
      <c r="E346" s="110">
        <v>7</v>
      </c>
      <c r="F346" s="110"/>
      <c r="G346" s="109" t="s">
        <v>165</v>
      </c>
      <c r="I346" s="16">
        <v>345</v>
      </c>
      <c r="J346" s="112" t="str">
        <f t="shared" si="17"/>
        <v>Опарське ВУПЗГ.ДКС ОПАРИ, КЦ 1-2 ГМК№17.Тапо.ГМК.7.T</v>
      </c>
      <c r="K346" s="113" t="s">
        <v>471</v>
      </c>
      <c r="L346" s="117" t="s">
        <v>157</v>
      </c>
      <c r="M346" s="115" t="s">
        <v>7</v>
      </c>
      <c r="N346" s="115" t="s">
        <v>31</v>
      </c>
      <c r="O346" s="116"/>
      <c r="P346" s="115" t="s">
        <v>13</v>
      </c>
      <c r="Q346" s="115" t="s">
        <v>51</v>
      </c>
      <c r="R346" s="115" t="s">
        <v>395</v>
      </c>
      <c r="S346" s="116"/>
      <c r="T346" s="115" t="s">
        <v>50</v>
      </c>
      <c r="U346" s="115" t="s">
        <v>17</v>
      </c>
    </row>
    <row r="347" spans="1:21" s="111" customFormat="1" x14ac:dyDescent="0.25">
      <c r="A347" s="108" t="s">
        <v>54</v>
      </c>
      <c r="B347" s="109" t="s">
        <v>502</v>
      </c>
      <c r="C347" s="120" t="s">
        <v>507</v>
      </c>
      <c r="D347" s="110" t="s">
        <v>491</v>
      </c>
      <c r="E347" s="110">
        <v>8</v>
      </c>
      <c r="F347" s="110"/>
      <c r="G347" s="109" t="s">
        <v>168</v>
      </c>
      <c r="I347" s="16">
        <v>346</v>
      </c>
      <c r="J347" s="112" t="str">
        <f t="shared" si="17"/>
        <v>Опарське ВУПЗГ.ДКС ОПАРИ, КЦ 1-2 ГМК№17.Перекачка.ГМК.8.Q</v>
      </c>
      <c r="K347" s="120" t="s">
        <v>507</v>
      </c>
      <c r="L347" s="20" t="s">
        <v>158</v>
      </c>
      <c r="M347" s="115" t="s">
        <v>7</v>
      </c>
      <c r="N347" s="115" t="s">
        <v>31</v>
      </c>
      <c r="O347" s="116"/>
      <c r="P347" s="115" t="s">
        <v>13</v>
      </c>
      <c r="Q347" s="115" t="s">
        <v>51</v>
      </c>
      <c r="R347" s="115" t="s">
        <v>395</v>
      </c>
      <c r="S347" s="116"/>
      <c r="T347" s="115" t="s">
        <v>50</v>
      </c>
      <c r="U347" s="115" t="s">
        <v>17</v>
      </c>
    </row>
    <row r="348" spans="1:21" s="111" customFormat="1" x14ac:dyDescent="0.25">
      <c r="A348" s="108" t="s">
        <v>54</v>
      </c>
      <c r="B348" s="110" t="s">
        <v>502</v>
      </c>
      <c r="C348" s="120" t="s">
        <v>478</v>
      </c>
      <c r="D348" s="110" t="s">
        <v>491</v>
      </c>
      <c r="E348" s="110">
        <v>9</v>
      </c>
      <c r="F348" s="110"/>
      <c r="G348" s="109" t="s">
        <v>487</v>
      </c>
      <c r="I348" s="16">
        <v>347</v>
      </c>
      <c r="J348" s="112" t="str">
        <f t="shared" si="17"/>
        <v>Опарське ВУПЗГ.ДКС ОПАРИ, КЦ 1-2 ГМК№17.Оберти.ГМК.9.об/хв</v>
      </c>
      <c r="K348" s="120" t="s">
        <v>478</v>
      </c>
      <c r="L348" s="19" t="s">
        <v>487</v>
      </c>
      <c r="M348" s="115" t="s">
        <v>7</v>
      </c>
      <c r="N348" s="115" t="s">
        <v>31</v>
      </c>
      <c r="O348" s="116"/>
      <c r="P348" s="116" t="s">
        <v>8</v>
      </c>
      <c r="Q348" s="116" t="s">
        <v>7</v>
      </c>
      <c r="R348" s="115" t="s">
        <v>395</v>
      </c>
      <c r="S348" s="116"/>
      <c r="T348" s="115" t="s">
        <v>50</v>
      </c>
      <c r="U348" s="115" t="s">
        <v>17</v>
      </c>
    </row>
    <row r="349" spans="1:21" s="111" customFormat="1" x14ac:dyDescent="0.25">
      <c r="A349" s="108" t="s">
        <v>54</v>
      </c>
      <c r="B349" s="110" t="s">
        <v>502</v>
      </c>
      <c r="C349" s="120" t="s">
        <v>479</v>
      </c>
      <c r="D349" s="110" t="s">
        <v>491</v>
      </c>
      <c r="E349" s="110"/>
      <c r="F349" s="110"/>
      <c r="G349" s="110"/>
      <c r="I349" s="16">
        <v>348</v>
      </c>
      <c r="J349" s="112" t="str">
        <f t="shared" si="17"/>
        <v>Опарське ВУПЗГ.ДКС ОПАРИ, КЦ 1-2 ГМК№17.Схема вкл.ГМК.</v>
      </c>
      <c r="K349" s="120" t="s">
        <v>479</v>
      </c>
      <c r="L349" s="116"/>
      <c r="M349" s="115" t="s">
        <v>7</v>
      </c>
      <c r="N349" s="115" t="s">
        <v>31</v>
      </c>
      <c r="O349" s="126" t="s">
        <v>172</v>
      </c>
      <c r="P349" s="116"/>
      <c r="Q349" s="116"/>
      <c r="R349" s="115"/>
      <c r="S349" s="116"/>
      <c r="T349" s="115" t="s">
        <v>50</v>
      </c>
      <c r="U349" s="114" t="s">
        <v>159</v>
      </c>
    </row>
    <row r="350" spans="1:21" s="111" customFormat="1" x14ac:dyDescent="0.25">
      <c r="A350" s="108" t="s">
        <v>54</v>
      </c>
      <c r="B350" s="110" t="s">
        <v>502</v>
      </c>
      <c r="C350" s="120" t="s">
        <v>490</v>
      </c>
      <c r="D350" s="110" t="s">
        <v>491</v>
      </c>
      <c r="E350" s="110"/>
      <c r="F350" s="110"/>
      <c r="G350" s="110"/>
      <c r="I350" s="16">
        <v>349</v>
      </c>
      <c r="J350" s="112" t="str">
        <f t="shared" si="17"/>
        <v>Опарське ВУПЗГ.ДКС ОПАРИ, КЦ 1-2 ГМК№17.Стан.ГМК.</v>
      </c>
      <c r="K350" s="120" t="s">
        <v>490</v>
      </c>
      <c r="L350" s="116"/>
      <c r="M350" s="115" t="s">
        <v>7</v>
      </c>
      <c r="N350" s="115" t="s">
        <v>31</v>
      </c>
      <c r="O350" s="116" t="s">
        <v>50</v>
      </c>
      <c r="P350" s="116"/>
      <c r="Q350" s="116"/>
      <c r="R350" s="115"/>
      <c r="S350" s="116"/>
      <c r="T350" s="115" t="s">
        <v>50</v>
      </c>
      <c r="U350" s="114" t="s">
        <v>159</v>
      </c>
    </row>
    <row r="351" spans="1:21" s="111" customFormat="1" x14ac:dyDescent="0.25">
      <c r="A351" s="108" t="s">
        <v>54</v>
      </c>
      <c r="B351" s="109" t="s">
        <v>503</v>
      </c>
      <c r="C351" s="113" t="s">
        <v>466</v>
      </c>
      <c r="D351" s="110" t="s">
        <v>476</v>
      </c>
      <c r="E351" s="110">
        <v>2</v>
      </c>
      <c r="F351" s="110"/>
      <c r="G351" s="109" t="s">
        <v>333</v>
      </c>
      <c r="I351" s="16">
        <v>350</v>
      </c>
      <c r="J351" s="112" t="str">
        <f t="shared" si="17"/>
        <v>Опарське ВУПЗГ.ДКС ОПАРИ, КЦ-3 ГПА№1.Рвх.ГПА.2.P</v>
      </c>
      <c r="K351" s="113" t="s">
        <v>466</v>
      </c>
      <c r="L351" s="114" t="s">
        <v>399</v>
      </c>
      <c r="M351" s="115" t="s">
        <v>7</v>
      </c>
      <c r="N351" s="115" t="s">
        <v>31</v>
      </c>
      <c r="O351" s="116"/>
      <c r="P351" s="115" t="s">
        <v>13</v>
      </c>
      <c r="Q351" s="115" t="s">
        <v>51</v>
      </c>
      <c r="R351" s="115" t="s">
        <v>395</v>
      </c>
      <c r="S351" s="116"/>
      <c r="T351" s="115" t="s">
        <v>50</v>
      </c>
      <c r="U351" s="115" t="s">
        <v>17</v>
      </c>
    </row>
    <row r="352" spans="1:21" s="111" customFormat="1" x14ac:dyDescent="0.25">
      <c r="A352" s="108" t="s">
        <v>54</v>
      </c>
      <c r="B352" s="109" t="s">
        <v>503</v>
      </c>
      <c r="C352" s="113" t="s">
        <v>467</v>
      </c>
      <c r="D352" s="110" t="s">
        <v>476</v>
      </c>
      <c r="E352" s="110">
        <v>3</v>
      </c>
      <c r="F352" s="110"/>
      <c r="G352" s="109" t="s">
        <v>333</v>
      </c>
      <c r="I352" s="16">
        <v>351</v>
      </c>
      <c r="J352" s="112" t="str">
        <f t="shared" si="17"/>
        <v>Опарське ВУПЗГ.ДКС ОПАРИ, КЦ-3 ГПА№1.Рвих.ГПА.3.P</v>
      </c>
      <c r="K352" s="113" t="s">
        <v>467</v>
      </c>
      <c r="L352" s="114" t="s">
        <v>399</v>
      </c>
      <c r="M352" s="115" t="s">
        <v>7</v>
      </c>
      <c r="N352" s="115" t="s">
        <v>31</v>
      </c>
      <c r="O352" s="116"/>
      <c r="P352" s="115" t="s">
        <v>13</v>
      </c>
      <c r="Q352" s="115" t="s">
        <v>51</v>
      </c>
      <c r="R352" s="115" t="s">
        <v>395</v>
      </c>
      <c r="S352" s="116"/>
      <c r="T352" s="115" t="s">
        <v>50</v>
      </c>
      <c r="U352" s="115" t="s">
        <v>17</v>
      </c>
    </row>
    <row r="353" spans="1:21" s="111" customFormat="1" x14ac:dyDescent="0.25">
      <c r="A353" s="108" t="s">
        <v>54</v>
      </c>
      <c r="B353" s="109" t="s">
        <v>503</v>
      </c>
      <c r="C353" s="113" t="s">
        <v>485</v>
      </c>
      <c r="D353" s="110" t="s">
        <v>476</v>
      </c>
      <c r="E353" s="110">
        <v>4</v>
      </c>
      <c r="F353" s="110"/>
      <c r="G353" s="109"/>
      <c r="I353" s="16">
        <v>352</v>
      </c>
      <c r="J353" s="112" t="str">
        <f t="shared" si="17"/>
        <v>Опарське ВУПЗГ.ДКС ОПАРИ, КЦ-3 ГПА№1.Е.ГПА.4.</v>
      </c>
      <c r="K353" s="113" t="s">
        <v>485</v>
      </c>
      <c r="L353" s="116"/>
      <c r="M353" s="115" t="s">
        <v>7</v>
      </c>
      <c r="N353" s="115" t="s">
        <v>31</v>
      </c>
      <c r="O353" s="116"/>
      <c r="P353" s="115" t="s">
        <v>13</v>
      </c>
      <c r="Q353" s="115" t="s">
        <v>51</v>
      </c>
      <c r="R353" s="115" t="s">
        <v>395</v>
      </c>
      <c r="S353" s="126" t="s">
        <v>567</v>
      </c>
      <c r="T353" s="115" t="s">
        <v>50</v>
      </c>
      <c r="U353" s="115" t="s">
        <v>17</v>
      </c>
    </row>
    <row r="354" spans="1:21" s="111" customFormat="1" x14ac:dyDescent="0.25">
      <c r="A354" s="108" t="s">
        <v>54</v>
      </c>
      <c r="B354" s="109" t="s">
        <v>503</v>
      </c>
      <c r="C354" s="113" t="s">
        <v>469</v>
      </c>
      <c r="D354" s="110" t="s">
        <v>476</v>
      </c>
      <c r="E354" s="110">
        <v>5</v>
      </c>
      <c r="F354" s="110"/>
      <c r="G354" s="109" t="s">
        <v>165</v>
      </c>
      <c r="I354" s="16">
        <v>353</v>
      </c>
      <c r="J354" s="112" t="str">
        <f t="shared" si="17"/>
        <v>Опарське ВУПЗГ.ДКС ОПАРИ, КЦ-3 ГПА№1.Твх.ГПА.5.T</v>
      </c>
      <c r="K354" s="113" t="s">
        <v>469</v>
      </c>
      <c r="L354" s="117" t="s">
        <v>157</v>
      </c>
      <c r="M354" s="115" t="s">
        <v>7</v>
      </c>
      <c r="N354" s="115" t="s">
        <v>31</v>
      </c>
      <c r="O354" s="116"/>
      <c r="P354" s="115" t="s">
        <v>13</v>
      </c>
      <c r="Q354" s="115" t="s">
        <v>51</v>
      </c>
      <c r="R354" s="115" t="s">
        <v>395</v>
      </c>
      <c r="S354" s="116"/>
      <c r="T354" s="115" t="s">
        <v>50</v>
      </c>
      <c r="U354" s="115" t="s">
        <v>17</v>
      </c>
    </row>
    <row r="355" spans="1:21" s="111" customFormat="1" x14ac:dyDescent="0.25">
      <c r="A355" s="108" t="s">
        <v>54</v>
      </c>
      <c r="B355" s="109" t="s">
        <v>503</v>
      </c>
      <c r="C355" s="113" t="s">
        <v>470</v>
      </c>
      <c r="D355" s="110" t="s">
        <v>476</v>
      </c>
      <c r="E355" s="110">
        <v>6</v>
      </c>
      <c r="F355" s="110"/>
      <c r="G355" s="109" t="s">
        <v>165</v>
      </c>
      <c r="I355" s="16">
        <v>354</v>
      </c>
      <c r="J355" s="112" t="str">
        <f t="shared" si="17"/>
        <v>Опарське ВУПЗГ.ДКС ОПАРИ, КЦ-3 ГПА№1.Твих.ГПА.6.T</v>
      </c>
      <c r="K355" s="113" t="s">
        <v>470</v>
      </c>
      <c r="L355" s="117" t="s">
        <v>157</v>
      </c>
      <c r="M355" s="115" t="s">
        <v>7</v>
      </c>
      <c r="N355" s="115" t="s">
        <v>31</v>
      </c>
      <c r="O355" s="116"/>
      <c r="P355" s="115" t="s">
        <v>13</v>
      </c>
      <c r="Q355" s="115" t="s">
        <v>51</v>
      </c>
      <c r="R355" s="115" t="s">
        <v>395</v>
      </c>
      <c r="S355" s="116"/>
      <c r="T355" s="115" t="s">
        <v>50</v>
      </c>
      <c r="U355" s="115" t="s">
        <v>17</v>
      </c>
    </row>
    <row r="356" spans="1:21" s="111" customFormat="1" x14ac:dyDescent="0.25">
      <c r="A356" s="108" t="s">
        <v>54</v>
      </c>
      <c r="B356" s="109" t="s">
        <v>503</v>
      </c>
      <c r="C356" s="113" t="s">
        <v>471</v>
      </c>
      <c r="D356" s="110" t="s">
        <v>476</v>
      </c>
      <c r="E356" s="110">
        <v>7</v>
      </c>
      <c r="F356" s="110"/>
      <c r="G356" s="109" t="s">
        <v>165</v>
      </c>
      <c r="I356" s="16">
        <v>355</v>
      </c>
      <c r="J356" s="112" t="str">
        <f t="shared" si="17"/>
        <v>Опарське ВУПЗГ.ДКС ОПАРИ, КЦ-3 ГПА№1.Тапо.ГПА.7.T</v>
      </c>
      <c r="K356" s="113" t="s">
        <v>471</v>
      </c>
      <c r="L356" s="117" t="s">
        <v>157</v>
      </c>
      <c r="M356" s="115" t="s">
        <v>7</v>
      </c>
      <c r="N356" s="115" t="s">
        <v>31</v>
      </c>
      <c r="O356" s="116"/>
      <c r="P356" s="115" t="s">
        <v>13</v>
      </c>
      <c r="Q356" s="115" t="s">
        <v>51</v>
      </c>
      <c r="R356" s="115" t="s">
        <v>395</v>
      </c>
      <c r="S356" s="116"/>
      <c r="T356" s="115" t="s">
        <v>50</v>
      </c>
      <c r="U356" s="115" t="s">
        <v>17</v>
      </c>
    </row>
    <row r="357" spans="1:21" s="111" customFormat="1" x14ac:dyDescent="0.25">
      <c r="A357" s="108" t="s">
        <v>54</v>
      </c>
      <c r="B357" s="109" t="s">
        <v>503</v>
      </c>
      <c r="C357" s="120" t="s">
        <v>507</v>
      </c>
      <c r="D357" s="110" t="s">
        <v>476</v>
      </c>
      <c r="E357" s="110">
        <v>8</v>
      </c>
      <c r="F357" s="110"/>
      <c r="G357" s="109" t="s">
        <v>168</v>
      </c>
      <c r="I357" s="16">
        <v>356</v>
      </c>
      <c r="J357" s="112" t="str">
        <f t="shared" ref="J357:J391" si="18">CONCATENATE(IF(ISBLANK(A357),"",A357&amp;CHAR(46)), IF(ISBLANK(B357),"",B357&amp;CHAR(46)), IF(ISBLANK(C357),"",C357&amp;CHAR(46)),IF(ISBLANK(D357),"",D357&amp;CHAR(46)), IF(ISBLANK(E357),"",E357&amp;CHAR(46)),IF(ISBLANK(F357),"",F357&amp;CHAR(46)),IF(ISBLANK(G357),"",G357) )</f>
        <v>Опарське ВУПЗГ.ДКС ОПАРИ, КЦ-3 ГПА№1.Перекачка.ГПА.8.Q</v>
      </c>
      <c r="K357" s="120" t="s">
        <v>507</v>
      </c>
      <c r="L357" s="20" t="s">
        <v>158</v>
      </c>
      <c r="M357" s="115" t="s">
        <v>7</v>
      </c>
      <c r="N357" s="115" t="s">
        <v>31</v>
      </c>
      <c r="O357" s="116"/>
      <c r="P357" s="115" t="s">
        <v>13</v>
      </c>
      <c r="Q357" s="115" t="s">
        <v>51</v>
      </c>
      <c r="R357" s="115" t="s">
        <v>395</v>
      </c>
      <c r="S357" s="116"/>
      <c r="T357" s="115" t="s">
        <v>50</v>
      </c>
      <c r="U357" s="115" t="s">
        <v>17</v>
      </c>
    </row>
    <row r="358" spans="1:21" s="111" customFormat="1" x14ac:dyDescent="0.25">
      <c r="A358" s="108" t="s">
        <v>54</v>
      </c>
      <c r="B358" s="109" t="s">
        <v>503</v>
      </c>
      <c r="C358" s="120" t="s">
        <v>478</v>
      </c>
      <c r="D358" s="110" t="s">
        <v>476</v>
      </c>
      <c r="E358" s="110">
        <v>9</v>
      </c>
      <c r="F358" s="110"/>
      <c r="G358" s="109" t="s">
        <v>487</v>
      </c>
      <c r="I358" s="16">
        <v>357</v>
      </c>
      <c r="J358" s="112" t="str">
        <f t="shared" si="18"/>
        <v>Опарське ВУПЗГ.ДКС ОПАРИ, КЦ-3 ГПА№1.Оберти.ГПА.9.об/хв</v>
      </c>
      <c r="K358" s="120" t="s">
        <v>478</v>
      </c>
      <c r="L358" s="19" t="s">
        <v>487</v>
      </c>
      <c r="M358" s="115" t="s">
        <v>7</v>
      </c>
      <c r="N358" s="115" t="s">
        <v>31</v>
      </c>
      <c r="O358" s="116"/>
      <c r="P358" s="116" t="s">
        <v>8</v>
      </c>
      <c r="Q358" s="116" t="s">
        <v>7</v>
      </c>
      <c r="R358" s="115" t="s">
        <v>395</v>
      </c>
      <c r="S358" s="116"/>
      <c r="T358" s="115" t="s">
        <v>50</v>
      </c>
      <c r="U358" s="115" t="s">
        <v>17</v>
      </c>
    </row>
    <row r="359" spans="1:21" s="111" customFormat="1" x14ac:dyDescent="0.25">
      <c r="A359" s="108" t="s">
        <v>54</v>
      </c>
      <c r="B359" s="109" t="s">
        <v>503</v>
      </c>
      <c r="C359" s="120" t="s">
        <v>479</v>
      </c>
      <c r="D359" s="110" t="s">
        <v>476</v>
      </c>
      <c r="E359" s="110"/>
      <c r="F359" s="110"/>
      <c r="G359" s="110"/>
      <c r="I359" s="16">
        <v>358</v>
      </c>
      <c r="J359" s="112" t="str">
        <f t="shared" si="18"/>
        <v>Опарське ВУПЗГ.ДКС ОПАРИ, КЦ-3 ГПА№1.Схема вкл.ГПА.</v>
      </c>
      <c r="K359" s="120" t="s">
        <v>479</v>
      </c>
      <c r="L359" s="116"/>
      <c r="M359" s="115" t="s">
        <v>7</v>
      </c>
      <c r="N359" s="115" t="s">
        <v>31</v>
      </c>
      <c r="O359" s="126" t="s">
        <v>172</v>
      </c>
      <c r="P359" s="116"/>
      <c r="Q359" s="116"/>
      <c r="R359" s="115"/>
      <c r="S359" s="116"/>
      <c r="T359" s="115" t="s">
        <v>50</v>
      </c>
      <c r="U359" s="114" t="s">
        <v>159</v>
      </c>
    </row>
    <row r="360" spans="1:21" s="111" customFormat="1" x14ac:dyDescent="0.25">
      <c r="A360" s="108" t="s">
        <v>54</v>
      </c>
      <c r="B360" s="109" t="s">
        <v>503</v>
      </c>
      <c r="C360" s="120" t="s">
        <v>490</v>
      </c>
      <c r="D360" s="110" t="s">
        <v>476</v>
      </c>
      <c r="E360" s="110"/>
      <c r="F360" s="110"/>
      <c r="G360" s="110"/>
      <c r="I360" s="16">
        <v>359</v>
      </c>
      <c r="J360" s="112" t="str">
        <f t="shared" si="18"/>
        <v>Опарське ВУПЗГ.ДКС ОПАРИ, КЦ-3 ГПА№1.Стан.ГПА.</v>
      </c>
      <c r="K360" s="120" t="s">
        <v>490</v>
      </c>
      <c r="L360" s="116"/>
      <c r="M360" s="115" t="s">
        <v>7</v>
      </c>
      <c r="N360" s="115" t="s">
        <v>31</v>
      </c>
      <c r="O360" s="116" t="s">
        <v>50</v>
      </c>
      <c r="P360" s="116"/>
      <c r="Q360" s="116"/>
      <c r="R360" s="115"/>
      <c r="S360" s="116"/>
      <c r="T360" s="115" t="s">
        <v>50</v>
      </c>
      <c r="U360" s="114" t="s">
        <v>159</v>
      </c>
    </row>
    <row r="361" spans="1:21" s="111" customFormat="1" x14ac:dyDescent="0.25">
      <c r="A361" s="108" t="s">
        <v>54</v>
      </c>
      <c r="B361" s="109" t="s">
        <v>504</v>
      </c>
      <c r="C361" s="113" t="s">
        <v>466</v>
      </c>
      <c r="D361" s="110" t="s">
        <v>476</v>
      </c>
      <c r="E361" s="110">
        <v>2</v>
      </c>
      <c r="F361" s="110"/>
      <c r="G361" s="109" t="s">
        <v>333</v>
      </c>
      <c r="I361" s="16">
        <v>360</v>
      </c>
      <c r="J361" s="112" t="str">
        <f t="shared" si="18"/>
        <v>Опарське ВУПЗГ.ДКС ОПАРИ, КЦ-3 ГПА№2.Рвх.ГПА.2.P</v>
      </c>
      <c r="K361" s="113" t="s">
        <v>466</v>
      </c>
      <c r="L361" s="114" t="s">
        <v>399</v>
      </c>
      <c r="M361" s="115" t="s">
        <v>7</v>
      </c>
      <c r="N361" s="115" t="s">
        <v>31</v>
      </c>
      <c r="O361" s="116"/>
      <c r="P361" s="115" t="s">
        <v>13</v>
      </c>
      <c r="Q361" s="115" t="s">
        <v>51</v>
      </c>
      <c r="R361" s="115" t="s">
        <v>395</v>
      </c>
      <c r="S361" s="116"/>
      <c r="T361" s="115" t="s">
        <v>50</v>
      </c>
      <c r="U361" s="115" t="s">
        <v>17</v>
      </c>
    </row>
    <row r="362" spans="1:21" s="111" customFormat="1" x14ac:dyDescent="0.25">
      <c r="A362" s="108" t="s">
        <v>54</v>
      </c>
      <c r="B362" s="109" t="s">
        <v>504</v>
      </c>
      <c r="C362" s="113" t="s">
        <v>467</v>
      </c>
      <c r="D362" s="110" t="s">
        <v>476</v>
      </c>
      <c r="E362" s="110">
        <v>3</v>
      </c>
      <c r="F362" s="110"/>
      <c r="G362" s="109" t="s">
        <v>333</v>
      </c>
      <c r="I362" s="16">
        <v>361</v>
      </c>
      <c r="J362" s="112" t="str">
        <f t="shared" si="18"/>
        <v>Опарське ВУПЗГ.ДКС ОПАРИ, КЦ-3 ГПА№2.Рвих.ГПА.3.P</v>
      </c>
      <c r="K362" s="113" t="s">
        <v>467</v>
      </c>
      <c r="L362" s="114" t="s">
        <v>399</v>
      </c>
      <c r="M362" s="115" t="s">
        <v>7</v>
      </c>
      <c r="N362" s="115" t="s">
        <v>31</v>
      </c>
      <c r="O362" s="116"/>
      <c r="P362" s="115" t="s">
        <v>13</v>
      </c>
      <c r="Q362" s="115" t="s">
        <v>51</v>
      </c>
      <c r="R362" s="115" t="s">
        <v>395</v>
      </c>
      <c r="S362" s="116"/>
      <c r="T362" s="115" t="s">
        <v>50</v>
      </c>
      <c r="U362" s="115" t="s">
        <v>17</v>
      </c>
    </row>
    <row r="363" spans="1:21" s="111" customFormat="1" x14ac:dyDescent="0.25">
      <c r="A363" s="108" t="s">
        <v>54</v>
      </c>
      <c r="B363" s="109" t="s">
        <v>504</v>
      </c>
      <c r="C363" s="113" t="s">
        <v>485</v>
      </c>
      <c r="D363" s="110" t="s">
        <v>476</v>
      </c>
      <c r="E363" s="110">
        <v>4</v>
      </c>
      <c r="F363" s="110"/>
      <c r="G363" s="109"/>
      <c r="I363" s="16">
        <v>362</v>
      </c>
      <c r="J363" s="112" t="str">
        <f t="shared" si="18"/>
        <v>Опарське ВУПЗГ.ДКС ОПАРИ, КЦ-3 ГПА№2.Е.ГПА.4.</v>
      </c>
      <c r="K363" s="113" t="s">
        <v>485</v>
      </c>
      <c r="L363" s="116"/>
      <c r="M363" s="115" t="s">
        <v>7</v>
      </c>
      <c r="N363" s="115" t="s">
        <v>31</v>
      </c>
      <c r="O363" s="116"/>
      <c r="P363" s="115" t="s">
        <v>13</v>
      </c>
      <c r="Q363" s="115" t="s">
        <v>51</v>
      </c>
      <c r="R363" s="115" t="s">
        <v>395</v>
      </c>
      <c r="S363" s="126" t="s">
        <v>568</v>
      </c>
      <c r="T363" s="115" t="s">
        <v>50</v>
      </c>
      <c r="U363" s="115" t="s">
        <v>17</v>
      </c>
    </row>
    <row r="364" spans="1:21" s="111" customFormat="1" x14ac:dyDescent="0.25">
      <c r="A364" s="108" t="s">
        <v>54</v>
      </c>
      <c r="B364" s="109" t="s">
        <v>504</v>
      </c>
      <c r="C364" s="113" t="s">
        <v>469</v>
      </c>
      <c r="D364" s="110" t="s">
        <v>476</v>
      </c>
      <c r="E364" s="110">
        <v>5</v>
      </c>
      <c r="F364" s="110"/>
      <c r="G364" s="109" t="s">
        <v>165</v>
      </c>
      <c r="I364" s="16">
        <v>363</v>
      </c>
      <c r="J364" s="112" t="str">
        <f t="shared" si="18"/>
        <v>Опарське ВУПЗГ.ДКС ОПАРИ, КЦ-3 ГПА№2.Твх.ГПА.5.T</v>
      </c>
      <c r="K364" s="113" t="s">
        <v>469</v>
      </c>
      <c r="L364" s="117" t="s">
        <v>157</v>
      </c>
      <c r="M364" s="115" t="s">
        <v>7</v>
      </c>
      <c r="N364" s="115" t="s">
        <v>31</v>
      </c>
      <c r="O364" s="116"/>
      <c r="P364" s="115" t="s">
        <v>13</v>
      </c>
      <c r="Q364" s="115" t="s">
        <v>51</v>
      </c>
      <c r="R364" s="115" t="s">
        <v>395</v>
      </c>
      <c r="S364" s="116"/>
      <c r="T364" s="115" t="s">
        <v>50</v>
      </c>
      <c r="U364" s="115" t="s">
        <v>17</v>
      </c>
    </row>
    <row r="365" spans="1:21" s="111" customFormat="1" x14ac:dyDescent="0.25">
      <c r="A365" s="108" t="s">
        <v>54</v>
      </c>
      <c r="B365" s="109" t="s">
        <v>504</v>
      </c>
      <c r="C365" s="113" t="s">
        <v>470</v>
      </c>
      <c r="D365" s="110" t="s">
        <v>476</v>
      </c>
      <c r="E365" s="110">
        <v>6</v>
      </c>
      <c r="F365" s="110"/>
      <c r="G365" s="109" t="s">
        <v>165</v>
      </c>
      <c r="I365" s="16">
        <v>364</v>
      </c>
      <c r="J365" s="112" t="str">
        <f t="shared" si="18"/>
        <v>Опарське ВУПЗГ.ДКС ОПАРИ, КЦ-3 ГПА№2.Твих.ГПА.6.T</v>
      </c>
      <c r="K365" s="113" t="s">
        <v>470</v>
      </c>
      <c r="L365" s="117" t="s">
        <v>157</v>
      </c>
      <c r="M365" s="115" t="s">
        <v>7</v>
      </c>
      <c r="N365" s="115" t="s">
        <v>31</v>
      </c>
      <c r="O365" s="116"/>
      <c r="P365" s="115" t="s">
        <v>13</v>
      </c>
      <c r="Q365" s="115" t="s">
        <v>51</v>
      </c>
      <c r="R365" s="115" t="s">
        <v>395</v>
      </c>
      <c r="S365" s="116"/>
      <c r="T365" s="115" t="s">
        <v>50</v>
      </c>
      <c r="U365" s="115" t="s">
        <v>17</v>
      </c>
    </row>
    <row r="366" spans="1:21" s="111" customFormat="1" x14ac:dyDescent="0.25">
      <c r="A366" s="108" t="s">
        <v>54</v>
      </c>
      <c r="B366" s="109" t="s">
        <v>504</v>
      </c>
      <c r="C366" s="113" t="s">
        <v>471</v>
      </c>
      <c r="D366" s="110" t="s">
        <v>476</v>
      </c>
      <c r="E366" s="110">
        <v>7</v>
      </c>
      <c r="F366" s="110"/>
      <c r="G366" s="109" t="s">
        <v>165</v>
      </c>
      <c r="I366" s="16">
        <v>365</v>
      </c>
      <c r="J366" s="112" t="str">
        <f t="shared" si="18"/>
        <v>Опарське ВУПЗГ.ДКС ОПАРИ, КЦ-3 ГПА№2.Тапо.ГПА.7.T</v>
      </c>
      <c r="K366" s="113" t="s">
        <v>471</v>
      </c>
      <c r="L366" s="117" t="s">
        <v>157</v>
      </c>
      <c r="M366" s="115" t="s">
        <v>7</v>
      </c>
      <c r="N366" s="115" t="s">
        <v>31</v>
      </c>
      <c r="O366" s="116"/>
      <c r="P366" s="115" t="s">
        <v>13</v>
      </c>
      <c r="Q366" s="115" t="s">
        <v>51</v>
      </c>
      <c r="R366" s="115" t="s">
        <v>395</v>
      </c>
      <c r="S366" s="116"/>
      <c r="T366" s="115" t="s">
        <v>50</v>
      </c>
      <c r="U366" s="115" t="s">
        <v>17</v>
      </c>
    </row>
    <row r="367" spans="1:21" s="111" customFormat="1" x14ac:dyDescent="0.25">
      <c r="A367" s="108" t="s">
        <v>54</v>
      </c>
      <c r="B367" s="109" t="s">
        <v>504</v>
      </c>
      <c r="C367" s="120" t="s">
        <v>507</v>
      </c>
      <c r="D367" s="110" t="s">
        <v>476</v>
      </c>
      <c r="E367" s="110">
        <v>8</v>
      </c>
      <c r="F367" s="110"/>
      <c r="G367" s="109" t="s">
        <v>168</v>
      </c>
      <c r="I367" s="16">
        <v>366</v>
      </c>
      <c r="J367" s="112" t="str">
        <f t="shared" si="18"/>
        <v>Опарське ВУПЗГ.ДКС ОПАРИ, КЦ-3 ГПА№2.Перекачка.ГПА.8.Q</v>
      </c>
      <c r="K367" s="120" t="s">
        <v>507</v>
      </c>
      <c r="L367" s="20" t="s">
        <v>158</v>
      </c>
      <c r="M367" s="115" t="s">
        <v>7</v>
      </c>
      <c r="N367" s="115" t="s">
        <v>31</v>
      </c>
      <c r="O367" s="116"/>
      <c r="P367" s="115" t="s">
        <v>13</v>
      </c>
      <c r="Q367" s="115" t="s">
        <v>51</v>
      </c>
      <c r="R367" s="115" t="s">
        <v>395</v>
      </c>
      <c r="S367" s="116"/>
      <c r="T367" s="115" t="s">
        <v>50</v>
      </c>
      <c r="U367" s="115" t="s">
        <v>17</v>
      </c>
    </row>
    <row r="368" spans="1:21" s="111" customFormat="1" x14ac:dyDescent="0.25">
      <c r="A368" s="108" t="s">
        <v>54</v>
      </c>
      <c r="B368" s="109" t="s">
        <v>504</v>
      </c>
      <c r="C368" s="120" t="s">
        <v>478</v>
      </c>
      <c r="D368" s="110" t="s">
        <v>476</v>
      </c>
      <c r="E368" s="110">
        <v>9</v>
      </c>
      <c r="F368" s="110"/>
      <c r="G368" s="109" t="s">
        <v>487</v>
      </c>
      <c r="I368" s="16">
        <v>367</v>
      </c>
      <c r="J368" s="112" t="str">
        <f t="shared" si="18"/>
        <v>Опарське ВУПЗГ.ДКС ОПАРИ, КЦ-3 ГПА№2.Оберти.ГПА.9.об/хв</v>
      </c>
      <c r="K368" s="120" t="s">
        <v>478</v>
      </c>
      <c r="L368" s="19" t="s">
        <v>487</v>
      </c>
      <c r="M368" s="115" t="s">
        <v>7</v>
      </c>
      <c r="N368" s="115" t="s">
        <v>31</v>
      </c>
      <c r="O368" s="116"/>
      <c r="P368" s="116" t="s">
        <v>8</v>
      </c>
      <c r="Q368" s="116" t="s">
        <v>7</v>
      </c>
      <c r="R368" s="115" t="s">
        <v>395</v>
      </c>
      <c r="S368" s="116"/>
      <c r="T368" s="115" t="s">
        <v>50</v>
      </c>
      <c r="U368" s="115" t="s">
        <v>17</v>
      </c>
    </row>
    <row r="369" spans="1:21" s="111" customFormat="1" x14ac:dyDescent="0.25">
      <c r="A369" s="108" t="s">
        <v>54</v>
      </c>
      <c r="B369" s="109" t="s">
        <v>504</v>
      </c>
      <c r="C369" s="120" t="s">
        <v>479</v>
      </c>
      <c r="D369" s="110" t="s">
        <v>476</v>
      </c>
      <c r="E369" s="110"/>
      <c r="F369" s="110"/>
      <c r="G369" s="110"/>
      <c r="I369" s="16">
        <v>368</v>
      </c>
      <c r="J369" s="112" t="str">
        <f t="shared" si="18"/>
        <v>Опарське ВУПЗГ.ДКС ОПАРИ, КЦ-3 ГПА№2.Схема вкл.ГПА.</v>
      </c>
      <c r="K369" s="120" t="s">
        <v>479</v>
      </c>
      <c r="L369" s="116"/>
      <c r="M369" s="115" t="s">
        <v>7</v>
      </c>
      <c r="N369" s="115" t="s">
        <v>31</v>
      </c>
      <c r="O369" s="126" t="s">
        <v>172</v>
      </c>
      <c r="P369" s="116"/>
      <c r="Q369" s="116"/>
      <c r="R369" s="115"/>
      <c r="S369" s="116"/>
      <c r="T369" s="115" t="s">
        <v>50</v>
      </c>
      <c r="U369" s="114" t="s">
        <v>159</v>
      </c>
    </row>
    <row r="370" spans="1:21" s="111" customFormat="1" x14ac:dyDescent="0.25">
      <c r="A370" s="108" t="s">
        <v>54</v>
      </c>
      <c r="B370" s="109" t="s">
        <v>504</v>
      </c>
      <c r="C370" s="120" t="s">
        <v>490</v>
      </c>
      <c r="D370" s="110" t="s">
        <v>476</v>
      </c>
      <c r="E370" s="110"/>
      <c r="F370" s="110"/>
      <c r="G370" s="110"/>
      <c r="I370" s="16">
        <v>369</v>
      </c>
      <c r="J370" s="112" t="str">
        <f t="shared" si="18"/>
        <v>Опарське ВУПЗГ.ДКС ОПАРИ, КЦ-3 ГПА№2.Стан.ГПА.</v>
      </c>
      <c r="K370" s="120" t="s">
        <v>490</v>
      </c>
      <c r="L370" s="116"/>
      <c r="M370" s="115" t="s">
        <v>7</v>
      </c>
      <c r="N370" s="115" t="s">
        <v>31</v>
      </c>
      <c r="O370" s="116" t="s">
        <v>50</v>
      </c>
      <c r="P370" s="116"/>
      <c r="Q370" s="116"/>
      <c r="R370" s="115"/>
      <c r="S370" s="116"/>
      <c r="T370" s="115" t="s">
        <v>50</v>
      </c>
      <c r="U370" s="114" t="s">
        <v>159</v>
      </c>
    </row>
    <row r="371" spans="1:21" s="111" customFormat="1" x14ac:dyDescent="0.25">
      <c r="A371" s="108" t="s">
        <v>54</v>
      </c>
      <c r="B371" s="109" t="s">
        <v>505</v>
      </c>
      <c r="C371" s="113" t="s">
        <v>466</v>
      </c>
      <c r="D371" s="110" t="s">
        <v>476</v>
      </c>
      <c r="E371" s="110">
        <v>2</v>
      </c>
      <c r="F371" s="110"/>
      <c r="G371" s="109" t="s">
        <v>333</v>
      </c>
      <c r="I371" s="16">
        <v>370</v>
      </c>
      <c r="J371" s="112" t="str">
        <f t="shared" si="18"/>
        <v>Опарське ВУПЗГ.ДКС ОПАРИ, КЦ-3 ГПА№3.Рвх.ГПА.2.P</v>
      </c>
      <c r="K371" s="113" t="s">
        <v>466</v>
      </c>
      <c r="L371" s="114" t="s">
        <v>399</v>
      </c>
      <c r="M371" s="115" t="s">
        <v>7</v>
      </c>
      <c r="N371" s="115" t="s">
        <v>31</v>
      </c>
      <c r="O371" s="116"/>
      <c r="P371" s="115" t="s">
        <v>13</v>
      </c>
      <c r="Q371" s="115" t="s">
        <v>51</v>
      </c>
      <c r="R371" s="115" t="s">
        <v>395</v>
      </c>
      <c r="S371" s="116"/>
      <c r="T371" s="115" t="s">
        <v>50</v>
      </c>
      <c r="U371" s="115" t="s">
        <v>17</v>
      </c>
    </row>
    <row r="372" spans="1:21" s="111" customFormat="1" x14ac:dyDescent="0.25">
      <c r="A372" s="108" t="s">
        <v>54</v>
      </c>
      <c r="B372" s="109" t="s">
        <v>505</v>
      </c>
      <c r="C372" s="113" t="s">
        <v>467</v>
      </c>
      <c r="D372" s="110" t="s">
        <v>476</v>
      </c>
      <c r="E372" s="110">
        <v>3</v>
      </c>
      <c r="F372" s="110"/>
      <c r="G372" s="109" t="s">
        <v>333</v>
      </c>
      <c r="I372" s="16">
        <v>371</v>
      </c>
      <c r="J372" s="112" t="str">
        <f t="shared" si="18"/>
        <v>Опарське ВУПЗГ.ДКС ОПАРИ, КЦ-3 ГПА№3.Рвих.ГПА.3.P</v>
      </c>
      <c r="K372" s="113" t="s">
        <v>467</v>
      </c>
      <c r="L372" s="114" t="s">
        <v>399</v>
      </c>
      <c r="M372" s="115" t="s">
        <v>7</v>
      </c>
      <c r="N372" s="115" t="s">
        <v>31</v>
      </c>
      <c r="O372" s="116"/>
      <c r="P372" s="115" t="s">
        <v>13</v>
      </c>
      <c r="Q372" s="115" t="s">
        <v>51</v>
      </c>
      <c r="R372" s="115" t="s">
        <v>395</v>
      </c>
      <c r="S372" s="116"/>
      <c r="T372" s="115" t="s">
        <v>50</v>
      </c>
      <c r="U372" s="115" t="s">
        <v>17</v>
      </c>
    </row>
    <row r="373" spans="1:21" s="111" customFormat="1" x14ac:dyDescent="0.25">
      <c r="A373" s="108" t="s">
        <v>54</v>
      </c>
      <c r="B373" s="109" t="s">
        <v>505</v>
      </c>
      <c r="C373" s="113" t="s">
        <v>485</v>
      </c>
      <c r="D373" s="110" t="s">
        <v>476</v>
      </c>
      <c r="E373" s="110">
        <v>4</v>
      </c>
      <c r="F373" s="110"/>
      <c r="G373" s="109"/>
      <c r="I373" s="16">
        <v>372</v>
      </c>
      <c r="J373" s="112" t="str">
        <f t="shared" si="18"/>
        <v>Опарське ВУПЗГ.ДКС ОПАРИ, КЦ-3 ГПА№3.Е.ГПА.4.</v>
      </c>
      <c r="K373" s="113" t="s">
        <v>485</v>
      </c>
      <c r="L373" s="116"/>
      <c r="M373" s="115" t="s">
        <v>7</v>
      </c>
      <c r="N373" s="115" t="s">
        <v>31</v>
      </c>
      <c r="O373" s="116"/>
      <c r="P373" s="115" t="s">
        <v>13</v>
      </c>
      <c r="Q373" s="115" t="s">
        <v>51</v>
      </c>
      <c r="R373" s="115" t="s">
        <v>395</v>
      </c>
      <c r="S373" s="126" t="s">
        <v>569</v>
      </c>
      <c r="T373" s="115" t="s">
        <v>50</v>
      </c>
      <c r="U373" s="115" t="s">
        <v>17</v>
      </c>
    </row>
    <row r="374" spans="1:21" s="111" customFormat="1" x14ac:dyDescent="0.25">
      <c r="A374" s="108" t="s">
        <v>54</v>
      </c>
      <c r="B374" s="109" t="s">
        <v>505</v>
      </c>
      <c r="C374" s="113" t="s">
        <v>469</v>
      </c>
      <c r="D374" s="110" t="s">
        <v>476</v>
      </c>
      <c r="E374" s="110">
        <v>5</v>
      </c>
      <c r="F374" s="110"/>
      <c r="G374" s="109" t="s">
        <v>165</v>
      </c>
      <c r="I374" s="16">
        <v>373</v>
      </c>
      <c r="J374" s="112" t="str">
        <f t="shared" si="18"/>
        <v>Опарське ВУПЗГ.ДКС ОПАРИ, КЦ-3 ГПА№3.Твх.ГПА.5.T</v>
      </c>
      <c r="K374" s="113" t="s">
        <v>469</v>
      </c>
      <c r="L374" s="117" t="s">
        <v>157</v>
      </c>
      <c r="M374" s="115" t="s">
        <v>7</v>
      </c>
      <c r="N374" s="115" t="s">
        <v>31</v>
      </c>
      <c r="O374" s="116"/>
      <c r="P374" s="115" t="s">
        <v>13</v>
      </c>
      <c r="Q374" s="115" t="s">
        <v>51</v>
      </c>
      <c r="R374" s="115" t="s">
        <v>395</v>
      </c>
      <c r="S374" s="116"/>
      <c r="T374" s="115" t="s">
        <v>50</v>
      </c>
      <c r="U374" s="115" t="s">
        <v>17</v>
      </c>
    </row>
    <row r="375" spans="1:21" s="111" customFormat="1" x14ac:dyDescent="0.25">
      <c r="A375" s="108" t="s">
        <v>54</v>
      </c>
      <c r="B375" s="109" t="s">
        <v>505</v>
      </c>
      <c r="C375" s="113" t="s">
        <v>470</v>
      </c>
      <c r="D375" s="110" t="s">
        <v>476</v>
      </c>
      <c r="E375" s="110">
        <v>6</v>
      </c>
      <c r="F375" s="110"/>
      <c r="G375" s="109" t="s">
        <v>165</v>
      </c>
      <c r="I375" s="16">
        <v>374</v>
      </c>
      <c r="J375" s="112" t="str">
        <f t="shared" si="18"/>
        <v>Опарське ВУПЗГ.ДКС ОПАРИ, КЦ-3 ГПА№3.Твих.ГПА.6.T</v>
      </c>
      <c r="K375" s="113" t="s">
        <v>470</v>
      </c>
      <c r="L375" s="117" t="s">
        <v>157</v>
      </c>
      <c r="M375" s="115" t="s">
        <v>7</v>
      </c>
      <c r="N375" s="115" t="s">
        <v>31</v>
      </c>
      <c r="O375" s="116"/>
      <c r="P375" s="115" t="s">
        <v>13</v>
      </c>
      <c r="Q375" s="115" t="s">
        <v>51</v>
      </c>
      <c r="R375" s="115" t="s">
        <v>395</v>
      </c>
      <c r="S375" s="116"/>
      <c r="T375" s="115" t="s">
        <v>50</v>
      </c>
      <c r="U375" s="115" t="s">
        <v>17</v>
      </c>
    </row>
    <row r="376" spans="1:21" s="111" customFormat="1" x14ac:dyDescent="0.25">
      <c r="A376" s="108" t="s">
        <v>54</v>
      </c>
      <c r="B376" s="109" t="s">
        <v>505</v>
      </c>
      <c r="C376" s="113" t="s">
        <v>471</v>
      </c>
      <c r="D376" s="110" t="s">
        <v>476</v>
      </c>
      <c r="E376" s="110">
        <v>7</v>
      </c>
      <c r="F376" s="110"/>
      <c r="G376" s="109" t="s">
        <v>165</v>
      </c>
      <c r="I376" s="16">
        <v>375</v>
      </c>
      <c r="J376" s="112" t="str">
        <f t="shared" si="18"/>
        <v>Опарське ВУПЗГ.ДКС ОПАРИ, КЦ-3 ГПА№3.Тапо.ГПА.7.T</v>
      </c>
      <c r="K376" s="113" t="s">
        <v>471</v>
      </c>
      <c r="L376" s="117" t="s">
        <v>157</v>
      </c>
      <c r="M376" s="115" t="s">
        <v>7</v>
      </c>
      <c r="N376" s="115" t="s">
        <v>31</v>
      </c>
      <c r="O376" s="116"/>
      <c r="P376" s="115" t="s">
        <v>13</v>
      </c>
      <c r="Q376" s="115" t="s">
        <v>51</v>
      </c>
      <c r="R376" s="115" t="s">
        <v>395</v>
      </c>
      <c r="S376" s="116"/>
      <c r="T376" s="115" t="s">
        <v>50</v>
      </c>
      <c r="U376" s="115" t="s">
        <v>17</v>
      </c>
    </row>
    <row r="377" spans="1:21" s="111" customFormat="1" x14ac:dyDescent="0.25">
      <c r="A377" s="108" t="s">
        <v>54</v>
      </c>
      <c r="B377" s="109" t="s">
        <v>505</v>
      </c>
      <c r="C377" s="120" t="s">
        <v>507</v>
      </c>
      <c r="D377" s="110" t="s">
        <v>476</v>
      </c>
      <c r="E377" s="110">
        <v>8</v>
      </c>
      <c r="F377" s="110"/>
      <c r="G377" s="109" t="s">
        <v>168</v>
      </c>
      <c r="I377" s="16">
        <v>376</v>
      </c>
      <c r="J377" s="112" t="str">
        <f t="shared" si="18"/>
        <v>Опарське ВУПЗГ.ДКС ОПАРИ, КЦ-3 ГПА№3.Перекачка.ГПА.8.Q</v>
      </c>
      <c r="K377" s="120" t="s">
        <v>507</v>
      </c>
      <c r="L377" s="20" t="s">
        <v>158</v>
      </c>
      <c r="M377" s="115" t="s">
        <v>7</v>
      </c>
      <c r="N377" s="115" t="s">
        <v>31</v>
      </c>
      <c r="O377" s="116"/>
      <c r="P377" s="115" t="s">
        <v>13</v>
      </c>
      <c r="Q377" s="115" t="s">
        <v>51</v>
      </c>
      <c r="R377" s="115" t="s">
        <v>395</v>
      </c>
      <c r="S377" s="116"/>
      <c r="T377" s="115" t="s">
        <v>50</v>
      </c>
      <c r="U377" s="115" t="s">
        <v>17</v>
      </c>
    </row>
    <row r="378" spans="1:21" s="111" customFormat="1" x14ac:dyDescent="0.25">
      <c r="A378" s="108" t="s">
        <v>54</v>
      </c>
      <c r="B378" s="109" t="s">
        <v>505</v>
      </c>
      <c r="C378" s="120" t="s">
        <v>478</v>
      </c>
      <c r="D378" s="110" t="s">
        <v>476</v>
      </c>
      <c r="E378" s="110">
        <v>9</v>
      </c>
      <c r="F378" s="110"/>
      <c r="G378" s="109" t="s">
        <v>487</v>
      </c>
      <c r="I378" s="16">
        <v>377</v>
      </c>
      <c r="J378" s="112" t="str">
        <f t="shared" si="18"/>
        <v>Опарське ВУПЗГ.ДКС ОПАРИ, КЦ-3 ГПА№3.Оберти.ГПА.9.об/хв</v>
      </c>
      <c r="K378" s="120" t="s">
        <v>478</v>
      </c>
      <c r="L378" s="19" t="s">
        <v>487</v>
      </c>
      <c r="M378" s="115" t="s">
        <v>7</v>
      </c>
      <c r="N378" s="115" t="s">
        <v>31</v>
      </c>
      <c r="O378" s="116"/>
      <c r="P378" s="116" t="s">
        <v>8</v>
      </c>
      <c r="Q378" s="116" t="s">
        <v>7</v>
      </c>
      <c r="R378" s="115" t="s">
        <v>395</v>
      </c>
      <c r="S378" s="116"/>
      <c r="T378" s="115" t="s">
        <v>50</v>
      </c>
      <c r="U378" s="115" t="s">
        <v>17</v>
      </c>
    </row>
    <row r="379" spans="1:21" s="111" customFormat="1" x14ac:dyDescent="0.25">
      <c r="A379" s="108" t="s">
        <v>54</v>
      </c>
      <c r="B379" s="109" t="s">
        <v>505</v>
      </c>
      <c r="C379" s="120" t="s">
        <v>479</v>
      </c>
      <c r="D379" s="110" t="s">
        <v>476</v>
      </c>
      <c r="E379" s="110"/>
      <c r="F379" s="110"/>
      <c r="G379" s="110"/>
      <c r="I379" s="16">
        <v>378</v>
      </c>
      <c r="J379" s="112" t="str">
        <f t="shared" si="18"/>
        <v>Опарське ВУПЗГ.ДКС ОПАРИ, КЦ-3 ГПА№3.Схема вкл.ГПА.</v>
      </c>
      <c r="K379" s="120" t="s">
        <v>479</v>
      </c>
      <c r="L379" s="116"/>
      <c r="M379" s="115" t="s">
        <v>7</v>
      </c>
      <c r="N379" s="115" t="s">
        <v>31</v>
      </c>
      <c r="O379" s="126" t="s">
        <v>172</v>
      </c>
      <c r="P379" s="116"/>
      <c r="Q379" s="116"/>
      <c r="R379" s="115"/>
      <c r="S379" s="116"/>
      <c r="T379" s="115" t="s">
        <v>50</v>
      </c>
      <c r="U379" s="114" t="s">
        <v>159</v>
      </c>
    </row>
    <row r="380" spans="1:21" s="111" customFormat="1" x14ac:dyDescent="0.25">
      <c r="A380" s="108" t="s">
        <v>54</v>
      </c>
      <c r="B380" s="109" t="s">
        <v>505</v>
      </c>
      <c r="C380" s="120" t="s">
        <v>490</v>
      </c>
      <c r="D380" s="110" t="s">
        <v>476</v>
      </c>
      <c r="E380" s="110"/>
      <c r="F380" s="110"/>
      <c r="G380" s="110"/>
      <c r="I380" s="16">
        <v>379</v>
      </c>
      <c r="J380" s="112" t="str">
        <f t="shared" si="18"/>
        <v>Опарське ВУПЗГ.ДКС ОПАРИ, КЦ-3 ГПА№3.Стан.ГПА.</v>
      </c>
      <c r="K380" s="120" t="s">
        <v>490</v>
      </c>
      <c r="L380" s="116"/>
      <c r="M380" s="115" t="s">
        <v>7</v>
      </c>
      <c r="N380" s="115" t="s">
        <v>31</v>
      </c>
      <c r="O380" s="116" t="s">
        <v>50</v>
      </c>
      <c r="P380" s="116"/>
      <c r="Q380" s="116"/>
      <c r="R380" s="115"/>
      <c r="S380" s="116"/>
      <c r="T380" s="115" t="s">
        <v>50</v>
      </c>
      <c r="U380" s="114" t="s">
        <v>159</v>
      </c>
    </row>
    <row r="381" spans="1:21" s="111" customFormat="1" x14ac:dyDescent="0.25">
      <c r="A381" s="108" t="s">
        <v>54</v>
      </c>
      <c r="B381" s="109" t="s">
        <v>506</v>
      </c>
      <c r="C381" s="113" t="s">
        <v>466</v>
      </c>
      <c r="D381" s="110" t="s">
        <v>476</v>
      </c>
      <c r="E381" s="110">
        <v>2</v>
      </c>
      <c r="F381" s="110"/>
      <c r="G381" s="109" t="s">
        <v>333</v>
      </c>
      <c r="I381" s="16">
        <v>380</v>
      </c>
      <c r="J381" s="112" t="str">
        <f t="shared" si="18"/>
        <v>Опарське ВУПЗГ.ДКС ОПАРИ, КЦ-3 ГПА№4.Рвх.ГПА.2.P</v>
      </c>
      <c r="K381" s="113" t="s">
        <v>466</v>
      </c>
      <c r="L381" s="114" t="s">
        <v>399</v>
      </c>
      <c r="M381" s="115" t="s">
        <v>7</v>
      </c>
      <c r="N381" s="115" t="s">
        <v>31</v>
      </c>
      <c r="O381" s="116"/>
      <c r="P381" s="115" t="s">
        <v>13</v>
      </c>
      <c r="Q381" s="115" t="s">
        <v>51</v>
      </c>
      <c r="R381" s="115" t="s">
        <v>395</v>
      </c>
      <c r="S381" s="116"/>
      <c r="T381" s="115" t="s">
        <v>50</v>
      </c>
      <c r="U381" s="115" t="s">
        <v>17</v>
      </c>
    </row>
    <row r="382" spans="1:21" s="111" customFormat="1" x14ac:dyDescent="0.25">
      <c r="A382" s="108" t="s">
        <v>54</v>
      </c>
      <c r="B382" s="109" t="s">
        <v>506</v>
      </c>
      <c r="C382" s="113" t="s">
        <v>467</v>
      </c>
      <c r="D382" s="110" t="s">
        <v>476</v>
      </c>
      <c r="E382" s="110">
        <v>3</v>
      </c>
      <c r="F382" s="110"/>
      <c r="G382" s="109" t="s">
        <v>333</v>
      </c>
      <c r="I382" s="16">
        <v>381</v>
      </c>
      <c r="J382" s="112" t="str">
        <f t="shared" si="18"/>
        <v>Опарське ВУПЗГ.ДКС ОПАРИ, КЦ-3 ГПА№4.Рвих.ГПА.3.P</v>
      </c>
      <c r="K382" s="113" t="s">
        <v>467</v>
      </c>
      <c r="L382" s="114" t="s">
        <v>399</v>
      </c>
      <c r="M382" s="115" t="s">
        <v>7</v>
      </c>
      <c r="N382" s="115" t="s">
        <v>31</v>
      </c>
      <c r="O382" s="116"/>
      <c r="P382" s="115" t="s">
        <v>13</v>
      </c>
      <c r="Q382" s="115" t="s">
        <v>51</v>
      </c>
      <c r="R382" s="115" t="s">
        <v>395</v>
      </c>
      <c r="S382" s="116"/>
      <c r="T382" s="115" t="s">
        <v>50</v>
      </c>
      <c r="U382" s="115" t="s">
        <v>17</v>
      </c>
    </row>
    <row r="383" spans="1:21" s="111" customFormat="1" x14ac:dyDescent="0.25">
      <c r="A383" s="108" t="s">
        <v>54</v>
      </c>
      <c r="B383" s="109" t="s">
        <v>506</v>
      </c>
      <c r="C383" s="113" t="s">
        <v>485</v>
      </c>
      <c r="D383" s="110" t="s">
        <v>476</v>
      </c>
      <c r="E383" s="110">
        <v>4</v>
      </c>
      <c r="F383" s="110"/>
      <c r="G383" s="109"/>
      <c r="I383" s="16">
        <v>382</v>
      </c>
      <c r="J383" s="112" t="str">
        <f t="shared" si="18"/>
        <v>Опарське ВУПЗГ.ДКС ОПАРИ, КЦ-3 ГПА№4.Е.ГПА.4.</v>
      </c>
      <c r="K383" s="113" t="s">
        <v>485</v>
      </c>
      <c r="L383" s="116"/>
      <c r="M383" s="115" t="s">
        <v>7</v>
      </c>
      <c r="N383" s="115" t="s">
        <v>31</v>
      </c>
      <c r="O383" s="116"/>
      <c r="P383" s="115" t="s">
        <v>13</v>
      </c>
      <c r="Q383" s="115" t="s">
        <v>51</v>
      </c>
      <c r="R383" s="115" t="s">
        <v>395</v>
      </c>
      <c r="S383" s="126" t="s">
        <v>570</v>
      </c>
      <c r="T383" s="115" t="s">
        <v>50</v>
      </c>
      <c r="U383" s="115" t="s">
        <v>17</v>
      </c>
    </row>
    <row r="384" spans="1:21" s="111" customFormat="1" x14ac:dyDescent="0.25">
      <c r="A384" s="108" t="s">
        <v>54</v>
      </c>
      <c r="B384" s="109" t="s">
        <v>505</v>
      </c>
      <c r="C384" s="113" t="s">
        <v>469</v>
      </c>
      <c r="D384" s="110" t="s">
        <v>476</v>
      </c>
      <c r="E384" s="110">
        <v>5</v>
      </c>
      <c r="F384" s="110"/>
      <c r="G384" s="109" t="s">
        <v>165</v>
      </c>
      <c r="I384" s="16">
        <v>383</v>
      </c>
      <c r="J384" s="112" t="str">
        <f t="shared" si="18"/>
        <v>Опарське ВУПЗГ.ДКС ОПАРИ, КЦ-3 ГПА№3.Твх.ГПА.5.T</v>
      </c>
      <c r="K384" s="113" t="s">
        <v>469</v>
      </c>
      <c r="L384" s="117" t="s">
        <v>157</v>
      </c>
      <c r="M384" s="115" t="s">
        <v>7</v>
      </c>
      <c r="N384" s="115" t="s">
        <v>31</v>
      </c>
      <c r="O384" s="116"/>
      <c r="P384" s="115" t="s">
        <v>13</v>
      </c>
      <c r="Q384" s="115" t="s">
        <v>51</v>
      </c>
      <c r="R384" s="115" t="s">
        <v>395</v>
      </c>
      <c r="S384" s="116"/>
      <c r="T384" s="115" t="s">
        <v>50</v>
      </c>
      <c r="U384" s="115" t="s">
        <v>17</v>
      </c>
    </row>
    <row r="385" spans="1:21" s="111" customFormat="1" x14ac:dyDescent="0.25">
      <c r="A385" s="108" t="s">
        <v>54</v>
      </c>
      <c r="B385" s="109" t="s">
        <v>506</v>
      </c>
      <c r="C385" s="113" t="s">
        <v>470</v>
      </c>
      <c r="D385" s="110" t="s">
        <v>476</v>
      </c>
      <c r="E385" s="110">
        <v>6</v>
      </c>
      <c r="F385" s="110"/>
      <c r="G385" s="109" t="s">
        <v>165</v>
      </c>
      <c r="I385" s="16">
        <v>384</v>
      </c>
      <c r="J385" s="112" t="str">
        <f t="shared" si="18"/>
        <v>Опарське ВУПЗГ.ДКС ОПАРИ, КЦ-3 ГПА№4.Твих.ГПА.6.T</v>
      </c>
      <c r="K385" s="113" t="s">
        <v>470</v>
      </c>
      <c r="L385" s="117" t="s">
        <v>157</v>
      </c>
      <c r="M385" s="115" t="s">
        <v>7</v>
      </c>
      <c r="N385" s="115" t="s">
        <v>31</v>
      </c>
      <c r="O385" s="116"/>
      <c r="P385" s="115" t="s">
        <v>13</v>
      </c>
      <c r="Q385" s="115" t="s">
        <v>51</v>
      </c>
      <c r="R385" s="115" t="s">
        <v>395</v>
      </c>
      <c r="S385" s="116"/>
      <c r="T385" s="115" t="s">
        <v>50</v>
      </c>
      <c r="U385" s="115" t="s">
        <v>17</v>
      </c>
    </row>
    <row r="386" spans="1:21" s="111" customFormat="1" x14ac:dyDescent="0.25">
      <c r="A386" s="108" t="s">
        <v>54</v>
      </c>
      <c r="B386" s="109" t="s">
        <v>506</v>
      </c>
      <c r="C386" s="113" t="s">
        <v>471</v>
      </c>
      <c r="D386" s="110" t="s">
        <v>476</v>
      </c>
      <c r="E386" s="110">
        <v>7</v>
      </c>
      <c r="F386" s="110"/>
      <c r="G386" s="109" t="s">
        <v>165</v>
      </c>
      <c r="I386" s="16">
        <v>385</v>
      </c>
      <c r="J386" s="112" t="str">
        <f t="shared" si="18"/>
        <v>Опарське ВУПЗГ.ДКС ОПАРИ, КЦ-3 ГПА№4.Тапо.ГПА.7.T</v>
      </c>
      <c r="K386" s="113" t="s">
        <v>471</v>
      </c>
      <c r="L386" s="117" t="s">
        <v>157</v>
      </c>
      <c r="M386" s="115" t="s">
        <v>7</v>
      </c>
      <c r="N386" s="115" t="s">
        <v>31</v>
      </c>
      <c r="O386" s="116"/>
      <c r="P386" s="115" t="s">
        <v>13</v>
      </c>
      <c r="Q386" s="115" t="s">
        <v>51</v>
      </c>
      <c r="R386" s="115" t="s">
        <v>395</v>
      </c>
      <c r="S386" s="116"/>
      <c r="T386" s="115" t="s">
        <v>50</v>
      </c>
      <c r="U386" s="115" t="s">
        <v>17</v>
      </c>
    </row>
    <row r="387" spans="1:21" s="111" customFormat="1" x14ac:dyDescent="0.25">
      <c r="A387" s="108" t="s">
        <v>54</v>
      </c>
      <c r="B387" s="109" t="s">
        <v>506</v>
      </c>
      <c r="C387" s="120" t="s">
        <v>507</v>
      </c>
      <c r="D387" s="110" t="s">
        <v>476</v>
      </c>
      <c r="E387" s="110">
        <v>8</v>
      </c>
      <c r="F387" s="110"/>
      <c r="G387" s="109" t="s">
        <v>168</v>
      </c>
      <c r="I387" s="16">
        <v>386</v>
      </c>
      <c r="J387" s="112" t="str">
        <f t="shared" si="18"/>
        <v>Опарське ВУПЗГ.ДКС ОПАРИ, КЦ-3 ГПА№4.Перекачка.ГПА.8.Q</v>
      </c>
      <c r="K387" s="120" t="s">
        <v>507</v>
      </c>
      <c r="L387" s="20" t="s">
        <v>158</v>
      </c>
      <c r="M387" s="115" t="s">
        <v>7</v>
      </c>
      <c r="N387" s="115" t="s">
        <v>31</v>
      </c>
      <c r="O387" s="116"/>
      <c r="P387" s="115" t="s">
        <v>13</v>
      </c>
      <c r="Q387" s="115" t="s">
        <v>51</v>
      </c>
      <c r="R387" s="115" t="s">
        <v>395</v>
      </c>
      <c r="S387" s="116"/>
      <c r="T387" s="115" t="s">
        <v>50</v>
      </c>
      <c r="U387" s="115" t="s">
        <v>17</v>
      </c>
    </row>
    <row r="388" spans="1:21" s="111" customFormat="1" x14ac:dyDescent="0.25">
      <c r="A388" s="108" t="s">
        <v>54</v>
      </c>
      <c r="B388" s="109" t="s">
        <v>506</v>
      </c>
      <c r="C388" s="120" t="s">
        <v>478</v>
      </c>
      <c r="D388" s="110" t="s">
        <v>476</v>
      </c>
      <c r="E388" s="110">
        <v>9</v>
      </c>
      <c r="F388" s="110"/>
      <c r="G388" s="109" t="s">
        <v>487</v>
      </c>
      <c r="I388" s="16">
        <v>387</v>
      </c>
      <c r="J388" s="112" t="str">
        <f t="shared" si="18"/>
        <v>Опарське ВУПЗГ.ДКС ОПАРИ, КЦ-3 ГПА№4.Оберти.ГПА.9.об/хв</v>
      </c>
      <c r="K388" s="120" t="s">
        <v>478</v>
      </c>
      <c r="L388" s="19" t="s">
        <v>487</v>
      </c>
      <c r="M388" s="115" t="s">
        <v>7</v>
      </c>
      <c r="N388" s="115" t="s">
        <v>31</v>
      </c>
      <c r="O388" s="116"/>
      <c r="P388" s="116" t="s">
        <v>8</v>
      </c>
      <c r="Q388" s="116" t="s">
        <v>7</v>
      </c>
      <c r="R388" s="115" t="s">
        <v>395</v>
      </c>
      <c r="S388" s="116"/>
      <c r="T388" s="115" t="s">
        <v>50</v>
      </c>
      <c r="U388" s="115" t="s">
        <v>17</v>
      </c>
    </row>
    <row r="389" spans="1:21" s="111" customFormat="1" x14ac:dyDescent="0.25">
      <c r="A389" s="108" t="s">
        <v>54</v>
      </c>
      <c r="B389" s="109" t="s">
        <v>506</v>
      </c>
      <c r="C389" s="120" t="s">
        <v>479</v>
      </c>
      <c r="D389" s="110" t="s">
        <v>476</v>
      </c>
      <c r="E389" s="110"/>
      <c r="F389" s="110"/>
      <c r="G389" s="110"/>
      <c r="I389" s="16">
        <v>388</v>
      </c>
      <c r="J389" s="112" t="str">
        <f t="shared" si="18"/>
        <v>Опарське ВУПЗГ.ДКС ОПАРИ, КЦ-3 ГПА№4.Схема вкл.ГПА.</v>
      </c>
      <c r="K389" s="120" t="s">
        <v>479</v>
      </c>
      <c r="L389" s="116"/>
      <c r="M389" s="115" t="s">
        <v>7</v>
      </c>
      <c r="N389" s="115" t="s">
        <v>31</v>
      </c>
      <c r="O389" s="126" t="s">
        <v>172</v>
      </c>
      <c r="P389" s="116"/>
      <c r="Q389" s="116"/>
      <c r="R389" s="115"/>
      <c r="S389" s="116"/>
      <c r="T389" s="115" t="s">
        <v>50</v>
      </c>
      <c r="U389" s="114" t="s">
        <v>159</v>
      </c>
    </row>
    <row r="390" spans="1:21" s="111" customFormat="1" x14ac:dyDescent="0.25">
      <c r="A390" s="108" t="s">
        <v>54</v>
      </c>
      <c r="B390" s="109" t="s">
        <v>506</v>
      </c>
      <c r="C390" s="120" t="s">
        <v>490</v>
      </c>
      <c r="D390" s="110" t="s">
        <v>476</v>
      </c>
      <c r="E390" s="110"/>
      <c r="F390" s="110"/>
      <c r="G390" s="110"/>
      <c r="I390" s="16">
        <v>389</v>
      </c>
      <c r="J390" s="112" t="str">
        <f t="shared" si="18"/>
        <v>Опарське ВУПЗГ.ДКС ОПАРИ, КЦ-3 ГПА№4.Стан.ГПА.</v>
      </c>
      <c r="K390" s="120" t="s">
        <v>490</v>
      </c>
      <c r="L390" s="116"/>
      <c r="M390" s="115" t="s">
        <v>7</v>
      </c>
      <c r="N390" s="115" t="s">
        <v>31</v>
      </c>
      <c r="O390" s="116" t="s">
        <v>50</v>
      </c>
      <c r="P390" s="116"/>
      <c r="Q390" s="116"/>
      <c r="R390" s="115"/>
      <c r="S390" s="116"/>
      <c r="T390" s="115" t="s">
        <v>50</v>
      </c>
      <c r="U390" s="114" t="s">
        <v>159</v>
      </c>
    </row>
    <row r="391" spans="1:21" x14ac:dyDescent="0.25">
      <c r="A391" s="82" t="s">
        <v>54</v>
      </c>
      <c r="B391" s="80" t="s">
        <v>55</v>
      </c>
      <c r="C391" s="80" t="s">
        <v>89</v>
      </c>
      <c r="D391" s="80" t="s">
        <v>397</v>
      </c>
      <c r="E391" s="44">
        <v>1</v>
      </c>
      <c r="F391" s="44"/>
      <c r="G391" s="1" t="s">
        <v>168</v>
      </c>
      <c r="I391" s="16">
        <v>390</v>
      </c>
      <c r="J391" s="39" t="str">
        <f t="shared" si="18"/>
        <v>Опарське ВУПЗГ.ПСГ Опарське.ВОГ ПСГ.Миттєві.1.Q</v>
      </c>
      <c r="K391" s="23" t="s">
        <v>599</v>
      </c>
      <c r="L391" s="20" t="s">
        <v>158</v>
      </c>
      <c r="M391" s="19" t="s">
        <v>7</v>
      </c>
      <c r="N391" s="19" t="s">
        <v>31</v>
      </c>
      <c r="O391" s="19"/>
      <c r="P391" s="19" t="s">
        <v>8</v>
      </c>
      <c r="Q391" s="19" t="s">
        <v>8</v>
      </c>
      <c r="R391" s="19"/>
      <c r="S391" s="23"/>
      <c r="T391" s="19" t="s">
        <v>50</v>
      </c>
      <c r="U391" s="19" t="s">
        <v>17</v>
      </c>
    </row>
    <row r="392" spans="1:21" x14ac:dyDescent="0.25">
      <c r="A392" s="82" t="s">
        <v>54</v>
      </c>
      <c r="B392" s="80" t="s">
        <v>55</v>
      </c>
      <c r="C392" s="80" t="s">
        <v>89</v>
      </c>
      <c r="D392" s="80" t="s">
        <v>397</v>
      </c>
      <c r="E392" s="44">
        <v>2</v>
      </c>
      <c r="F392" s="44"/>
      <c r="G392" s="1" t="s">
        <v>168</v>
      </c>
      <c r="I392" s="16">
        <v>391</v>
      </c>
      <c r="J392" s="39" t="str">
        <f t="shared" ref="J392:J395" si="19">CONCATENATE(IF(ISBLANK(A392),"",A392&amp;CHAR(46)), IF(ISBLANK(B392),"",B392&amp;CHAR(46)), IF(ISBLANK(C392),"",C392&amp;CHAR(46)),IF(ISBLANK(D392),"",D392&amp;CHAR(46)), IF(ISBLANK(E392),"",E392&amp;CHAR(46)),IF(ISBLANK(F392),"",F392&amp;CHAR(46)),IF(ISBLANK(G392),"",G392) )</f>
        <v>Опарське ВУПЗГ.ПСГ Опарське.ВОГ ПСГ.Миттєві.2.Q</v>
      </c>
      <c r="K392" s="23" t="s">
        <v>600</v>
      </c>
      <c r="L392" s="20" t="s">
        <v>158</v>
      </c>
      <c r="M392" s="19" t="s">
        <v>7</v>
      </c>
      <c r="N392" s="19" t="s">
        <v>31</v>
      </c>
      <c r="O392" s="19"/>
      <c r="P392" s="19" t="s">
        <v>8</v>
      </c>
      <c r="Q392" s="19" t="s">
        <v>8</v>
      </c>
      <c r="R392" s="19"/>
      <c r="S392" s="23"/>
      <c r="T392" s="19" t="s">
        <v>50</v>
      </c>
      <c r="U392" s="19" t="s">
        <v>17</v>
      </c>
    </row>
    <row r="393" spans="1:21" x14ac:dyDescent="0.25">
      <c r="A393" s="82" t="s">
        <v>54</v>
      </c>
      <c r="B393" s="80" t="s">
        <v>55</v>
      </c>
      <c r="C393" s="80" t="s">
        <v>89</v>
      </c>
      <c r="D393" s="80" t="s">
        <v>397</v>
      </c>
      <c r="E393" s="44">
        <v>3</v>
      </c>
      <c r="F393" s="44"/>
      <c r="G393" s="1" t="s">
        <v>168</v>
      </c>
      <c r="I393" s="16">
        <v>392</v>
      </c>
      <c r="J393" s="39" t="str">
        <f t="shared" si="19"/>
        <v>Опарське ВУПЗГ.ПСГ Опарське.ВОГ ПСГ.Миттєві.3.Q</v>
      </c>
      <c r="K393" s="23" t="s">
        <v>601</v>
      </c>
      <c r="L393" s="20" t="s">
        <v>158</v>
      </c>
      <c r="M393" s="19" t="s">
        <v>7</v>
      </c>
      <c r="N393" s="19" t="s">
        <v>31</v>
      </c>
      <c r="O393" s="19"/>
      <c r="P393" s="19" t="s">
        <v>8</v>
      </c>
      <c r="Q393" s="19" t="s">
        <v>8</v>
      </c>
      <c r="R393" s="19"/>
      <c r="S393" s="23"/>
      <c r="T393" s="19" t="s">
        <v>50</v>
      </c>
      <c r="U393" s="19" t="s">
        <v>17</v>
      </c>
    </row>
    <row r="394" spans="1:21" x14ac:dyDescent="0.25">
      <c r="A394" s="82" t="s">
        <v>54</v>
      </c>
      <c r="B394" s="80" t="s">
        <v>55</v>
      </c>
      <c r="C394" s="80" t="s">
        <v>89</v>
      </c>
      <c r="D394" s="80" t="s">
        <v>397</v>
      </c>
      <c r="E394" s="44">
        <v>4</v>
      </c>
      <c r="F394" s="44"/>
      <c r="G394" s="1" t="s">
        <v>168</v>
      </c>
      <c r="I394" s="16">
        <v>393</v>
      </c>
      <c r="J394" s="39" t="str">
        <f t="shared" si="19"/>
        <v>Опарське ВУПЗГ.ПСГ Опарське.ВОГ ПСГ.Миттєві.4.Q</v>
      </c>
      <c r="K394" s="23" t="s">
        <v>602</v>
      </c>
      <c r="L394" s="20" t="s">
        <v>158</v>
      </c>
      <c r="M394" s="19" t="s">
        <v>7</v>
      </c>
      <c r="N394" s="19" t="s">
        <v>31</v>
      </c>
      <c r="O394" s="19"/>
      <c r="P394" s="19" t="s">
        <v>8</v>
      </c>
      <c r="Q394" s="19" t="s">
        <v>8</v>
      </c>
      <c r="R394" s="19"/>
      <c r="S394" s="23"/>
      <c r="T394" s="19" t="s">
        <v>50</v>
      </c>
      <c r="U394" s="19" t="s">
        <v>17</v>
      </c>
    </row>
    <row r="395" spans="1:21" x14ac:dyDescent="0.25">
      <c r="A395" s="82" t="s">
        <v>54</v>
      </c>
      <c r="B395" s="80" t="s">
        <v>55</v>
      </c>
      <c r="C395" s="80" t="s">
        <v>89</v>
      </c>
      <c r="D395" s="80" t="s">
        <v>397</v>
      </c>
      <c r="E395" s="44">
        <v>1</v>
      </c>
      <c r="F395" s="44"/>
      <c r="G395" s="1" t="s">
        <v>333</v>
      </c>
      <c r="I395" s="16">
        <v>394</v>
      </c>
      <c r="J395" s="39" t="str">
        <f t="shared" si="19"/>
        <v>Опарське ВУПЗГ.ПСГ Опарське.ВОГ ПСГ.Миттєві.1.P</v>
      </c>
      <c r="K395" s="23" t="s">
        <v>599</v>
      </c>
      <c r="L395" s="114" t="s">
        <v>399</v>
      </c>
      <c r="M395" s="19" t="s">
        <v>7</v>
      </c>
      <c r="N395" s="19" t="s">
        <v>31</v>
      </c>
      <c r="O395" s="19"/>
      <c r="P395" s="19" t="s">
        <v>8</v>
      </c>
      <c r="Q395" s="19" t="s">
        <v>8</v>
      </c>
      <c r="R395" s="19"/>
      <c r="S395" s="23"/>
      <c r="T395" s="19" t="s">
        <v>50</v>
      </c>
      <c r="U395" s="19" t="s">
        <v>17</v>
      </c>
    </row>
    <row r="396" spans="1:21" x14ac:dyDescent="0.25">
      <c r="A396" s="82" t="s">
        <v>54</v>
      </c>
      <c r="B396" s="80" t="s">
        <v>55</v>
      </c>
      <c r="C396" s="80" t="s">
        <v>89</v>
      </c>
      <c r="D396" s="80" t="s">
        <v>397</v>
      </c>
      <c r="E396" s="44">
        <v>2</v>
      </c>
      <c r="F396" s="44"/>
      <c r="G396" s="1" t="s">
        <v>333</v>
      </c>
      <c r="I396" s="16">
        <v>395</v>
      </c>
      <c r="J396" s="39" t="str">
        <f t="shared" ref="J396:J399" si="20">CONCATENATE(IF(ISBLANK(A396),"",A396&amp;CHAR(46)), IF(ISBLANK(B396),"",B396&amp;CHAR(46)), IF(ISBLANK(C396),"",C396&amp;CHAR(46)),IF(ISBLANK(D396),"",D396&amp;CHAR(46)), IF(ISBLANK(E396),"",E396&amp;CHAR(46)),IF(ISBLANK(F396),"",F396&amp;CHAR(46)),IF(ISBLANK(G396),"",G396) )</f>
        <v>Опарське ВУПЗГ.ПСГ Опарське.ВОГ ПСГ.Миттєві.2.P</v>
      </c>
      <c r="K396" s="23" t="s">
        <v>600</v>
      </c>
      <c r="L396" s="114" t="s">
        <v>399</v>
      </c>
      <c r="M396" s="19" t="s">
        <v>7</v>
      </c>
      <c r="N396" s="19" t="s">
        <v>31</v>
      </c>
      <c r="O396" s="19"/>
      <c r="P396" s="19" t="s">
        <v>8</v>
      </c>
      <c r="Q396" s="19" t="s">
        <v>8</v>
      </c>
      <c r="R396" s="19"/>
      <c r="S396" s="23"/>
      <c r="T396" s="19" t="s">
        <v>50</v>
      </c>
      <c r="U396" s="19" t="s">
        <v>17</v>
      </c>
    </row>
    <row r="397" spans="1:21" x14ac:dyDescent="0.25">
      <c r="A397" s="82" t="s">
        <v>54</v>
      </c>
      <c r="B397" s="80" t="s">
        <v>55</v>
      </c>
      <c r="C397" s="80" t="s">
        <v>89</v>
      </c>
      <c r="D397" s="80" t="s">
        <v>397</v>
      </c>
      <c r="E397" s="44">
        <v>3</v>
      </c>
      <c r="F397" s="44"/>
      <c r="G397" s="1" t="s">
        <v>333</v>
      </c>
      <c r="I397" s="16">
        <v>396</v>
      </c>
      <c r="J397" s="39" t="str">
        <f t="shared" si="20"/>
        <v>Опарське ВУПЗГ.ПСГ Опарське.ВОГ ПСГ.Миттєві.3.P</v>
      </c>
      <c r="K397" s="23" t="s">
        <v>601</v>
      </c>
      <c r="L397" s="114" t="s">
        <v>399</v>
      </c>
      <c r="M397" s="19" t="s">
        <v>7</v>
      </c>
      <c r="N397" s="19" t="s">
        <v>31</v>
      </c>
      <c r="O397" s="19"/>
      <c r="P397" s="19" t="s">
        <v>8</v>
      </c>
      <c r="Q397" s="19" t="s">
        <v>8</v>
      </c>
      <c r="R397" s="19"/>
      <c r="S397" s="23"/>
      <c r="T397" s="19" t="s">
        <v>50</v>
      </c>
      <c r="U397" s="19" t="s">
        <v>17</v>
      </c>
    </row>
    <row r="398" spans="1:21" x14ac:dyDescent="0.25">
      <c r="A398" s="82" t="s">
        <v>54</v>
      </c>
      <c r="B398" s="80" t="s">
        <v>55</v>
      </c>
      <c r="C398" s="80" t="s">
        <v>89</v>
      </c>
      <c r="D398" s="80" t="s">
        <v>397</v>
      </c>
      <c r="E398" s="44">
        <v>4</v>
      </c>
      <c r="F398" s="44"/>
      <c r="G398" s="1" t="s">
        <v>333</v>
      </c>
      <c r="I398" s="16">
        <v>397</v>
      </c>
      <c r="J398" s="39" t="str">
        <f t="shared" si="20"/>
        <v>Опарське ВУПЗГ.ПСГ Опарське.ВОГ ПСГ.Миттєві.4.P</v>
      </c>
      <c r="K398" s="23" t="s">
        <v>602</v>
      </c>
      <c r="L398" s="114" t="s">
        <v>399</v>
      </c>
      <c r="M398" s="19" t="s">
        <v>7</v>
      </c>
      <c r="N398" s="19" t="s">
        <v>31</v>
      </c>
      <c r="O398" s="19"/>
      <c r="P398" s="19" t="s">
        <v>8</v>
      </c>
      <c r="Q398" s="19" t="s">
        <v>8</v>
      </c>
      <c r="R398" s="19"/>
      <c r="S398" s="23"/>
      <c r="T398" s="19" t="s">
        <v>50</v>
      </c>
      <c r="U398" s="19" t="s">
        <v>17</v>
      </c>
    </row>
    <row r="399" spans="1:21" x14ac:dyDescent="0.25">
      <c r="A399" s="82" t="s">
        <v>54</v>
      </c>
      <c r="B399" s="80" t="s">
        <v>55</v>
      </c>
      <c r="C399" s="80" t="s">
        <v>89</v>
      </c>
      <c r="D399" s="80" t="s">
        <v>397</v>
      </c>
      <c r="E399" s="44">
        <v>1</v>
      </c>
      <c r="F399" s="44"/>
      <c r="G399" s="1" t="s">
        <v>165</v>
      </c>
      <c r="I399" s="16">
        <v>398</v>
      </c>
      <c r="J399" s="39" t="str">
        <f t="shared" si="20"/>
        <v>Опарське ВУПЗГ.ПСГ Опарське.ВОГ ПСГ.Миттєві.1.T</v>
      </c>
      <c r="K399" s="23" t="s">
        <v>599</v>
      </c>
      <c r="L399" s="117" t="s">
        <v>157</v>
      </c>
      <c r="M399" s="19" t="s">
        <v>7</v>
      </c>
      <c r="N399" s="19" t="s">
        <v>31</v>
      </c>
      <c r="O399" s="19"/>
      <c r="P399" s="19" t="s">
        <v>8</v>
      </c>
      <c r="Q399" s="19" t="s">
        <v>8</v>
      </c>
      <c r="R399" s="19"/>
      <c r="S399" s="23"/>
      <c r="T399" s="19" t="s">
        <v>50</v>
      </c>
      <c r="U399" s="19" t="s">
        <v>17</v>
      </c>
    </row>
    <row r="400" spans="1:21" x14ac:dyDescent="0.25">
      <c r="A400" s="82" t="s">
        <v>54</v>
      </c>
      <c r="B400" s="80" t="s">
        <v>55</v>
      </c>
      <c r="C400" s="80" t="s">
        <v>89</v>
      </c>
      <c r="D400" s="80" t="s">
        <v>397</v>
      </c>
      <c r="E400" s="44">
        <v>2</v>
      </c>
      <c r="F400" s="44"/>
      <c r="G400" s="1" t="s">
        <v>165</v>
      </c>
      <c r="I400" s="16">
        <v>399</v>
      </c>
      <c r="J400" s="39" t="str">
        <f t="shared" ref="J400:J403" si="21">CONCATENATE(IF(ISBLANK(A400),"",A400&amp;CHAR(46)), IF(ISBLANK(B400),"",B400&amp;CHAR(46)), IF(ISBLANK(C400),"",C400&amp;CHAR(46)),IF(ISBLANK(D400),"",D400&amp;CHAR(46)), IF(ISBLANK(E400),"",E400&amp;CHAR(46)),IF(ISBLANK(F400),"",F400&amp;CHAR(46)),IF(ISBLANK(G400),"",G400) )</f>
        <v>Опарське ВУПЗГ.ПСГ Опарське.ВОГ ПСГ.Миттєві.2.T</v>
      </c>
      <c r="K400" s="23" t="s">
        <v>600</v>
      </c>
      <c r="L400" s="117" t="s">
        <v>157</v>
      </c>
      <c r="M400" s="19" t="s">
        <v>7</v>
      </c>
      <c r="N400" s="19" t="s">
        <v>31</v>
      </c>
      <c r="O400" s="19"/>
      <c r="P400" s="19" t="s">
        <v>8</v>
      </c>
      <c r="Q400" s="19" t="s">
        <v>8</v>
      </c>
      <c r="R400" s="19"/>
      <c r="S400" s="23"/>
      <c r="T400" s="19" t="s">
        <v>50</v>
      </c>
      <c r="U400" s="19" t="s">
        <v>17</v>
      </c>
    </row>
    <row r="401" spans="1:21" x14ac:dyDescent="0.25">
      <c r="A401" s="82" t="s">
        <v>54</v>
      </c>
      <c r="B401" s="80" t="s">
        <v>55</v>
      </c>
      <c r="C401" s="80" t="s">
        <v>89</v>
      </c>
      <c r="D401" s="80" t="s">
        <v>397</v>
      </c>
      <c r="E401" s="44">
        <v>3</v>
      </c>
      <c r="F401" s="44"/>
      <c r="G401" s="1" t="s">
        <v>165</v>
      </c>
      <c r="I401" s="16">
        <v>400</v>
      </c>
      <c r="J401" s="39" t="str">
        <f t="shared" si="21"/>
        <v>Опарське ВУПЗГ.ПСГ Опарське.ВОГ ПСГ.Миттєві.3.T</v>
      </c>
      <c r="K401" s="23" t="s">
        <v>601</v>
      </c>
      <c r="L401" s="117" t="s">
        <v>157</v>
      </c>
      <c r="M401" s="19" t="s">
        <v>7</v>
      </c>
      <c r="N401" s="19" t="s">
        <v>31</v>
      </c>
      <c r="O401" s="19"/>
      <c r="P401" s="19" t="s">
        <v>8</v>
      </c>
      <c r="Q401" s="19" t="s">
        <v>8</v>
      </c>
      <c r="R401" s="19"/>
      <c r="S401" s="23"/>
      <c r="T401" s="19" t="s">
        <v>50</v>
      </c>
      <c r="U401" s="19" t="s">
        <v>17</v>
      </c>
    </row>
    <row r="402" spans="1:21" x14ac:dyDescent="0.25">
      <c r="A402" s="82" t="s">
        <v>54</v>
      </c>
      <c r="B402" s="80" t="s">
        <v>55</v>
      </c>
      <c r="C402" s="80" t="s">
        <v>89</v>
      </c>
      <c r="D402" s="80" t="s">
        <v>397</v>
      </c>
      <c r="E402" s="44">
        <v>4</v>
      </c>
      <c r="F402" s="44"/>
      <c r="G402" s="1" t="s">
        <v>165</v>
      </c>
      <c r="I402" s="16">
        <v>401</v>
      </c>
      <c r="J402" s="39" t="str">
        <f t="shared" si="21"/>
        <v>Опарське ВУПЗГ.ПСГ Опарське.ВОГ ПСГ.Миттєві.4.T</v>
      </c>
      <c r="K402" s="23" t="s">
        <v>602</v>
      </c>
      <c r="L402" s="117" t="s">
        <v>157</v>
      </c>
      <c r="M402" s="19" t="s">
        <v>7</v>
      </c>
      <c r="N402" s="19" t="s">
        <v>31</v>
      </c>
      <c r="O402" s="19"/>
      <c r="P402" s="19" t="s">
        <v>8</v>
      </c>
      <c r="Q402" s="19" t="s">
        <v>8</v>
      </c>
      <c r="R402" s="19"/>
      <c r="S402" s="23"/>
      <c r="T402" s="19" t="s">
        <v>50</v>
      </c>
      <c r="U402" s="19" t="s">
        <v>17</v>
      </c>
    </row>
    <row r="403" spans="1:21" x14ac:dyDescent="0.25">
      <c r="A403" s="82" t="s">
        <v>54</v>
      </c>
      <c r="B403" s="80" t="s">
        <v>55</v>
      </c>
      <c r="C403" s="80" t="s">
        <v>89</v>
      </c>
      <c r="D403" s="80" t="s">
        <v>397</v>
      </c>
      <c r="E403" s="44">
        <v>1</v>
      </c>
      <c r="F403" s="44"/>
      <c r="G403" s="1" t="s">
        <v>603</v>
      </c>
      <c r="I403" s="16">
        <v>402</v>
      </c>
      <c r="J403" s="39" t="str">
        <f t="shared" si="21"/>
        <v>Опарське ВУПЗГ.ПСГ Опарське.ВОГ ПСГ.Миттєві.1.DP</v>
      </c>
      <c r="K403" s="23" t="s">
        <v>599</v>
      </c>
      <c r="L403" s="114" t="s">
        <v>604</v>
      </c>
      <c r="M403" s="19" t="s">
        <v>7</v>
      </c>
      <c r="N403" s="19" t="s">
        <v>31</v>
      </c>
      <c r="O403" s="19"/>
      <c r="P403" s="19" t="s">
        <v>8</v>
      </c>
      <c r="Q403" s="19" t="s">
        <v>8</v>
      </c>
      <c r="R403" s="19"/>
      <c r="S403" s="23"/>
      <c r="T403" s="19" t="s">
        <v>50</v>
      </c>
      <c r="U403" s="19" t="s">
        <v>17</v>
      </c>
    </row>
    <row r="404" spans="1:21" x14ac:dyDescent="0.25">
      <c r="A404" s="82" t="s">
        <v>54</v>
      </c>
      <c r="B404" s="80" t="s">
        <v>55</v>
      </c>
      <c r="C404" s="80" t="s">
        <v>89</v>
      </c>
      <c r="D404" s="80" t="s">
        <v>397</v>
      </c>
      <c r="E404" s="44">
        <v>2</v>
      </c>
      <c r="F404" s="44"/>
      <c r="G404" s="1" t="s">
        <v>603</v>
      </c>
      <c r="I404" s="16">
        <v>403</v>
      </c>
      <c r="J404" s="39" t="str">
        <f t="shared" ref="J404:J407" si="22">CONCATENATE(IF(ISBLANK(A404),"",A404&amp;CHAR(46)), IF(ISBLANK(B404),"",B404&amp;CHAR(46)), IF(ISBLANK(C404),"",C404&amp;CHAR(46)),IF(ISBLANK(D404),"",D404&amp;CHAR(46)), IF(ISBLANK(E404),"",E404&amp;CHAR(46)),IF(ISBLANK(F404),"",F404&amp;CHAR(46)),IF(ISBLANK(G404),"",G404) )</f>
        <v>Опарське ВУПЗГ.ПСГ Опарське.ВОГ ПСГ.Миттєві.2.DP</v>
      </c>
      <c r="K404" s="23" t="s">
        <v>600</v>
      </c>
      <c r="L404" s="114" t="s">
        <v>604</v>
      </c>
      <c r="M404" s="19" t="s">
        <v>7</v>
      </c>
      <c r="N404" s="19" t="s">
        <v>31</v>
      </c>
      <c r="O404" s="19"/>
      <c r="P404" s="19" t="s">
        <v>8</v>
      </c>
      <c r="Q404" s="19" t="s">
        <v>8</v>
      </c>
      <c r="R404" s="19"/>
      <c r="S404" s="23"/>
      <c r="T404" s="19" t="s">
        <v>50</v>
      </c>
      <c r="U404" s="19" t="s">
        <v>17</v>
      </c>
    </row>
    <row r="405" spans="1:21" x14ac:dyDescent="0.25">
      <c r="A405" s="82" t="s">
        <v>54</v>
      </c>
      <c r="B405" s="80" t="s">
        <v>55</v>
      </c>
      <c r="C405" s="80" t="s">
        <v>89</v>
      </c>
      <c r="D405" s="80" t="s">
        <v>397</v>
      </c>
      <c r="E405" s="44">
        <v>3</v>
      </c>
      <c r="F405" s="44"/>
      <c r="G405" s="1" t="s">
        <v>603</v>
      </c>
      <c r="I405" s="16">
        <v>404</v>
      </c>
      <c r="J405" s="39" t="str">
        <f t="shared" si="22"/>
        <v>Опарське ВУПЗГ.ПСГ Опарське.ВОГ ПСГ.Миттєві.3.DP</v>
      </c>
      <c r="K405" s="23" t="s">
        <v>601</v>
      </c>
      <c r="L405" s="114" t="s">
        <v>604</v>
      </c>
      <c r="M405" s="19" t="s">
        <v>7</v>
      </c>
      <c r="N405" s="19" t="s">
        <v>31</v>
      </c>
      <c r="O405" s="19"/>
      <c r="P405" s="19" t="s">
        <v>8</v>
      </c>
      <c r="Q405" s="19" t="s">
        <v>8</v>
      </c>
      <c r="R405" s="19"/>
      <c r="S405" s="23"/>
      <c r="T405" s="19" t="s">
        <v>50</v>
      </c>
      <c r="U405" s="19" t="s">
        <v>17</v>
      </c>
    </row>
    <row r="406" spans="1:21" x14ac:dyDescent="0.25">
      <c r="A406" s="82" t="s">
        <v>54</v>
      </c>
      <c r="B406" s="80" t="s">
        <v>55</v>
      </c>
      <c r="C406" s="80" t="s">
        <v>89</v>
      </c>
      <c r="D406" s="80" t="s">
        <v>397</v>
      </c>
      <c r="E406" s="44">
        <v>4</v>
      </c>
      <c r="F406" s="44"/>
      <c r="G406" s="1" t="s">
        <v>603</v>
      </c>
      <c r="I406" s="16">
        <v>405</v>
      </c>
      <c r="J406" s="39" t="str">
        <f t="shared" si="22"/>
        <v>Опарське ВУПЗГ.ПСГ Опарське.ВОГ ПСГ.Миттєві.4.DP</v>
      </c>
      <c r="K406" s="23" t="s">
        <v>602</v>
      </c>
      <c r="L406" s="114" t="s">
        <v>604</v>
      </c>
      <c r="M406" s="19" t="s">
        <v>7</v>
      </c>
      <c r="N406" s="19" t="s">
        <v>31</v>
      </c>
      <c r="O406" s="19"/>
      <c r="P406" s="19" t="s">
        <v>8</v>
      </c>
      <c r="Q406" s="19" t="s">
        <v>8</v>
      </c>
      <c r="R406" s="19"/>
      <c r="S406" s="23"/>
      <c r="T406" s="19" t="s">
        <v>50</v>
      </c>
      <c r="U406" s="19" t="s">
        <v>17</v>
      </c>
    </row>
    <row r="407" spans="1:21" x14ac:dyDescent="0.25">
      <c r="A407" s="82" t="s">
        <v>54</v>
      </c>
      <c r="B407" s="80" t="s">
        <v>55</v>
      </c>
      <c r="C407" s="80" t="s">
        <v>89</v>
      </c>
      <c r="D407" s="80" t="s">
        <v>397</v>
      </c>
      <c r="E407" s="44"/>
      <c r="F407" s="44"/>
      <c r="G407" s="1" t="s">
        <v>165</v>
      </c>
      <c r="I407" s="16">
        <v>406</v>
      </c>
      <c r="J407" s="39" t="str">
        <f t="shared" si="22"/>
        <v>Опарське ВУПЗГ.ПСГ Опарське.ВОГ ПСГ.Миттєві.T</v>
      </c>
      <c r="K407" s="23" t="s">
        <v>424</v>
      </c>
      <c r="L407" s="117" t="s">
        <v>157</v>
      </c>
      <c r="M407" s="19" t="s">
        <v>7</v>
      </c>
      <c r="N407" s="19" t="s">
        <v>31</v>
      </c>
      <c r="O407" s="19"/>
      <c r="P407" s="19" t="s">
        <v>8</v>
      </c>
      <c r="Q407" s="19" t="s">
        <v>8</v>
      </c>
      <c r="R407" s="19"/>
      <c r="S407" s="23"/>
      <c r="T407" s="19" t="s">
        <v>50</v>
      </c>
      <c r="U407" s="19" t="s">
        <v>17</v>
      </c>
    </row>
  </sheetData>
  <autoFilter ref="E1:G173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Кнопка1_Щелчок">
                <anchor moveWithCells="1" sizeWithCells="1">
                  <from>
                    <xdr:col>0</xdr:col>
                    <xdr:colOff>19050</xdr:colOff>
                    <xdr:row>0</xdr:row>
                    <xdr:rowOff>28575</xdr:rowOff>
                  </from>
                  <to>
                    <xdr:col>21</xdr:col>
                    <xdr:colOff>38100</xdr:colOff>
                    <xdr:row>0</xdr:row>
                    <xdr:rowOff>400050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/>
  <dimension ref="A1:C16"/>
  <sheetViews>
    <sheetView workbookViewId="0">
      <selection activeCell="B22" sqref="B22"/>
    </sheetView>
  </sheetViews>
  <sheetFormatPr defaultRowHeight="15" x14ac:dyDescent="0.25"/>
  <cols>
    <col min="1" max="1" width="12.28515625" bestFit="1" customWidth="1"/>
    <col min="2" max="2" width="35.42578125" customWidth="1"/>
    <col min="3" max="3" width="71.140625" customWidth="1"/>
  </cols>
  <sheetData>
    <row r="1" spans="1:3" ht="40.5" customHeight="1" x14ac:dyDescent="0.25"/>
    <row r="3" spans="1:3" x14ac:dyDescent="0.25">
      <c r="A3" s="3" t="s">
        <v>14</v>
      </c>
      <c r="B3" s="4" t="s">
        <v>2</v>
      </c>
      <c r="C3" s="4" t="s">
        <v>0</v>
      </c>
    </row>
    <row r="4" spans="1:3" x14ac:dyDescent="0.25">
      <c r="A4" s="2">
        <v>1</v>
      </c>
      <c r="B4" s="1" t="s">
        <v>150</v>
      </c>
      <c r="C4" s="1" t="s">
        <v>150</v>
      </c>
    </row>
    <row r="5" spans="1:3" x14ac:dyDescent="0.25">
      <c r="A5" s="2">
        <v>2</v>
      </c>
      <c r="B5" s="6" t="s">
        <v>156</v>
      </c>
      <c r="C5" s="6" t="s">
        <v>156</v>
      </c>
    </row>
    <row r="6" spans="1:3" x14ac:dyDescent="0.25">
      <c r="A6" s="2">
        <v>3</v>
      </c>
      <c r="B6" s="6" t="s">
        <v>41</v>
      </c>
      <c r="C6" s="6" t="s">
        <v>32</v>
      </c>
    </row>
    <row r="7" spans="1:3" x14ac:dyDescent="0.25">
      <c r="A7" s="2">
        <v>4</v>
      </c>
      <c r="B7" s="6" t="s">
        <v>42</v>
      </c>
      <c r="C7" s="6" t="s">
        <v>42</v>
      </c>
    </row>
    <row r="8" spans="1:3" x14ac:dyDescent="0.25">
      <c r="A8" s="2">
        <v>5</v>
      </c>
      <c r="B8" s="6" t="s">
        <v>33</v>
      </c>
      <c r="C8" s="6" t="s">
        <v>33</v>
      </c>
    </row>
    <row r="9" spans="1:3" x14ac:dyDescent="0.25">
      <c r="A9" s="2">
        <v>6</v>
      </c>
      <c r="B9" s="6" t="s">
        <v>34</v>
      </c>
      <c r="C9" s="6" t="s">
        <v>34</v>
      </c>
    </row>
    <row r="10" spans="1:3" x14ac:dyDescent="0.25">
      <c r="A10" s="2">
        <v>7</v>
      </c>
      <c r="B10" s="6" t="s">
        <v>40</v>
      </c>
      <c r="C10" s="6" t="s">
        <v>40</v>
      </c>
    </row>
    <row r="11" spans="1:3" x14ac:dyDescent="0.25">
      <c r="A11" s="2">
        <v>8</v>
      </c>
      <c r="B11" s="6" t="s">
        <v>35</v>
      </c>
      <c r="C11" s="6" t="s">
        <v>35</v>
      </c>
    </row>
    <row r="12" spans="1:3" x14ac:dyDescent="0.25">
      <c r="A12" s="2">
        <v>9</v>
      </c>
      <c r="B12" s="6" t="s">
        <v>39</v>
      </c>
      <c r="C12" s="6" t="s">
        <v>39</v>
      </c>
    </row>
    <row r="13" spans="1:3" x14ac:dyDescent="0.25">
      <c r="A13" s="2">
        <v>10</v>
      </c>
      <c r="B13" s="1" t="s">
        <v>38</v>
      </c>
      <c r="C13" s="1" t="s">
        <v>38</v>
      </c>
    </row>
    <row r="14" spans="1:3" x14ac:dyDescent="0.25">
      <c r="A14" s="2">
        <v>11</v>
      </c>
      <c r="B14" s="1" t="s">
        <v>37</v>
      </c>
      <c r="C14" s="1" t="s">
        <v>37</v>
      </c>
    </row>
    <row r="15" spans="1:3" x14ac:dyDescent="0.25">
      <c r="A15" s="2">
        <v>12</v>
      </c>
      <c r="B15" s="6" t="s">
        <v>43</v>
      </c>
      <c r="C15" s="6" t="s">
        <v>36</v>
      </c>
    </row>
    <row r="16" spans="1:3" x14ac:dyDescent="0.25">
      <c r="A16" s="2">
        <v>13</v>
      </c>
      <c r="B16" s="7" t="s">
        <v>49</v>
      </c>
      <c r="C16" s="7" t="s">
        <v>49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Кнопка1_Щелчок">
                <anchor moveWithCells="1" sizeWithCells="1">
                  <from>
                    <xdr:col>1</xdr:col>
                    <xdr:colOff>876300</xdr:colOff>
                    <xdr:row>0</xdr:row>
                    <xdr:rowOff>76200</xdr:rowOff>
                  </from>
                  <to>
                    <xdr:col>1</xdr:col>
                    <xdr:colOff>1790700</xdr:colOff>
                    <xdr:row>0</xdr:row>
                    <xdr:rowOff>447675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/>
  <dimension ref="A1:C5"/>
  <sheetViews>
    <sheetView workbookViewId="0">
      <selection activeCell="C22" sqref="C22"/>
    </sheetView>
  </sheetViews>
  <sheetFormatPr defaultRowHeight="15" x14ac:dyDescent="0.25"/>
  <cols>
    <col min="1" max="1" width="10.7109375" customWidth="1"/>
    <col min="2" max="2" width="35.42578125" customWidth="1"/>
    <col min="3" max="3" width="104.85546875" bestFit="1" customWidth="1"/>
  </cols>
  <sheetData>
    <row r="1" spans="1:3" ht="40.5" customHeight="1" x14ac:dyDescent="0.25"/>
    <row r="3" spans="1:3" x14ac:dyDescent="0.25">
      <c r="A3" s="3" t="s">
        <v>14</v>
      </c>
      <c r="B3" s="4" t="s">
        <v>19</v>
      </c>
      <c r="C3" s="4" t="s">
        <v>20</v>
      </c>
    </row>
    <row r="4" spans="1:3" x14ac:dyDescent="0.25">
      <c r="A4" s="2">
        <v>1</v>
      </c>
      <c r="B4" s="1" t="s">
        <v>22</v>
      </c>
      <c r="C4" s="1" t="s">
        <v>24</v>
      </c>
    </row>
    <row r="5" spans="1:3" x14ac:dyDescent="0.25">
      <c r="A5" s="5">
        <v>2</v>
      </c>
      <c r="B5" s="6" t="s">
        <v>23</v>
      </c>
      <c r="C5" s="1" t="s">
        <v>25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Кнопка1_Щелчок">
                <anchor moveWithCells="1" sizeWithCells="1">
                  <from>
                    <xdr:col>1</xdr:col>
                    <xdr:colOff>876300</xdr:colOff>
                    <xdr:row>0</xdr:row>
                    <xdr:rowOff>76200</xdr:rowOff>
                  </from>
                  <to>
                    <xdr:col>1</xdr:col>
                    <xdr:colOff>1790700</xdr:colOff>
                    <xdr:row>0</xdr:row>
                    <xdr:rowOff>447675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A1:C13"/>
  <sheetViews>
    <sheetView workbookViewId="0">
      <selection activeCell="B18" sqref="B18"/>
    </sheetView>
  </sheetViews>
  <sheetFormatPr defaultRowHeight="15" x14ac:dyDescent="0.25"/>
  <cols>
    <col min="1" max="1" width="10.7109375" customWidth="1"/>
    <col min="2" max="2" width="35.42578125" customWidth="1"/>
    <col min="3" max="3" width="104.85546875" bestFit="1" customWidth="1"/>
  </cols>
  <sheetData>
    <row r="1" spans="1:3" ht="40.5" customHeight="1" x14ac:dyDescent="0.25"/>
    <row r="3" spans="1:3" x14ac:dyDescent="0.25">
      <c r="A3" s="3" t="s">
        <v>14</v>
      </c>
      <c r="B3" s="4" t="s">
        <v>1</v>
      </c>
      <c r="C3" s="4" t="s">
        <v>26</v>
      </c>
    </row>
    <row r="4" spans="1:3" x14ac:dyDescent="0.25">
      <c r="A4" s="2">
        <v>1</v>
      </c>
      <c r="B4" s="1" t="s">
        <v>27</v>
      </c>
      <c r="C4" s="1" t="s">
        <v>21</v>
      </c>
    </row>
    <row r="5" spans="1:3" x14ac:dyDescent="0.25">
      <c r="A5" s="5">
        <v>2</v>
      </c>
      <c r="B5" s="1" t="s">
        <v>144</v>
      </c>
      <c r="C5" s="1" t="s">
        <v>21</v>
      </c>
    </row>
    <row r="6" spans="1:3" x14ac:dyDescent="0.25">
      <c r="A6" s="2">
        <v>3</v>
      </c>
      <c r="B6" s="1" t="s">
        <v>145</v>
      </c>
      <c r="C6" s="1" t="s">
        <v>21</v>
      </c>
    </row>
    <row r="7" spans="1:3" x14ac:dyDescent="0.25">
      <c r="A7" s="5">
        <v>4</v>
      </c>
      <c r="B7" s="1" t="s">
        <v>146</v>
      </c>
      <c r="C7" s="1" t="s">
        <v>21</v>
      </c>
    </row>
    <row r="8" spans="1:3" x14ac:dyDescent="0.25">
      <c r="A8" s="2">
        <v>5</v>
      </c>
      <c r="B8" s="1" t="s">
        <v>147</v>
      </c>
      <c r="C8" s="1" t="s">
        <v>21</v>
      </c>
    </row>
    <row r="9" spans="1:3" x14ac:dyDescent="0.25">
      <c r="A9" s="5">
        <v>6</v>
      </c>
      <c r="B9" s="1" t="s">
        <v>148</v>
      </c>
      <c r="C9" s="1" t="s">
        <v>21</v>
      </c>
    </row>
    <row r="10" spans="1:3" x14ac:dyDescent="0.25">
      <c r="A10" s="2"/>
      <c r="B10" s="7"/>
      <c r="C10" s="12"/>
    </row>
    <row r="11" spans="1:3" x14ac:dyDescent="0.25">
      <c r="A11" s="2"/>
      <c r="B11" s="12"/>
      <c r="C11" s="12"/>
    </row>
    <row r="12" spans="1:3" x14ac:dyDescent="0.25">
      <c r="A12" s="2"/>
      <c r="B12" s="12"/>
      <c r="C12" s="12"/>
    </row>
    <row r="13" spans="1:3" x14ac:dyDescent="0.25">
      <c r="A13" s="5"/>
      <c r="B13" s="7"/>
      <c r="C13" s="7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Кнопка1_Щелчок">
                <anchor moveWithCells="1" sizeWithCells="1">
                  <from>
                    <xdr:col>1</xdr:col>
                    <xdr:colOff>876300</xdr:colOff>
                    <xdr:row>0</xdr:row>
                    <xdr:rowOff>76200</xdr:rowOff>
                  </from>
                  <to>
                    <xdr:col>1</xdr:col>
                    <xdr:colOff>1790700</xdr:colOff>
                    <xdr:row>0</xdr:row>
                    <xdr:rowOff>447675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"/>
  <dimension ref="A1:G9"/>
  <sheetViews>
    <sheetView workbookViewId="0">
      <selection activeCell="B16" sqref="B16"/>
    </sheetView>
  </sheetViews>
  <sheetFormatPr defaultRowHeight="15" x14ac:dyDescent="0.25"/>
  <cols>
    <col min="1" max="1" width="10.7109375" customWidth="1"/>
    <col min="2" max="2" width="35.42578125" customWidth="1"/>
    <col min="3" max="3" width="17" customWidth="1"/>
    <col min="4" max="4" width="15.140625" customWidth="1"/>
    <col min="5" max="5" width="13.5703125" bestFit="1" customWidth="1"/>
    <col min="6" max="6" width="11.28515625" bestFit="1" customWidth="1"/>
    <col min="7" max="7" width="7.85546875" bestFit="1" customWidth="1"/>
  </cols>
  <sheetData>
    <row r="1" spans="1:7" ht="40.5" customHeight="1" x14ac:dyDescent="0.25"/>
    <row r="3" spans="1:7" x14ac:dyDescent="0.25">
      <c r="A3" s="8" t="s">
        <v>14</v>
      </c>
      <c r="B3" s="9" t="s">
        <v>1</v>
      </c>
      <c r="C3" s="9" t="s">
        <v>28</v>
      </c>
      <c r="D3" s="9" t="s">
        <v>29</v>
      </c>
      <c r="E3" s="9" t="s">
        <v>30</v>
      </c>
      <c r="F3" s="9" t="s">
        <v>26</v>
      </c>
      <c r="G3" s="9" t="s">
        <v>149</v>
      </c>
    </row>
    <row r="4" spans="1:7" x14ac:dyDescent="0.25">
      <c r="A4" s="10">
        <v>1</v>
      </c>
      <c r="B4" s="1" t="s">
        <v>150</v>
      </c>
      <c r="C4" s="1" t="s">
        <v>18</v>
      </c>
      <c r="D4" s="1" t="s">
        <v>18</v>
      </c>
      <c r="E4" s="11" t="s">
        <v>12</v>
      </c>
      <c r="F4" s="11">
        <v>1</v>
      </c>
      <c r="G4" s="11">
        <v>1</v>
      </c>
    </row>
    <row r="5" spans="1:7" x14ac:dyDescent="0.25">
      <c r="A5" s="10">
        <v>2</v>
      </c>
      <c r="B5" s="1" t="s">
        <v>151</v>
      </c>
      <c r="C5" s="1" t="s">
        <v>44</v>
      </c>
      <c r="D5" s="1" t="s">
        <v>44</v>
      </c>
      <c r="E5" s="11" t="s">
        <v>12</v>
      </c>
      <c r="F5" s="11">
        <v>2</v>
      </c>
      <c r="G5" s="11">
        <v>1</v>
      </c>
    </row>
    <row r="6" spans="1:7" x14ac:dyDescent="0.25">
      <c r="A6" s="10">
        <v>3</v>
      </c>
      <c r="B6" s="1" t="s">
        <v>152</v>
      </c>
      <c r="C6" s="12" t="s">
        <v>45</v>
      </c>
      <c r="D6" s="12" t="s">
        <v>45</v>
      </c>
      <c r="E6" s="13" t="s">
        <v>12</v>
      </c>
      <c r="F6" s="13">
        <v>3</v>
      </c>
      <c r="G6" s="11">
        <v>1</v>
      </c>
    </row>
    <row r="7" spans="1:7" x14ac:dyDescent="0.25">
      <c r="A7" s="10">
        <v>4</v>
      </c>
      <c r="B7" s="1" t="s">
        <v>153</v>
      </c>
      <c r="C7" s="12" t="s">
        <v>46</v>
      </c>
      <c r="D7" s="12" t="s">
        <v>46</v>
      </c>
      <c r="E7" s="13" t="s">
        <v>12</v>
      </c>
      <c r="F7" s="13">
        <v>4</v>
      </c>
      <c r="G7" s="11">
        <v>1</v>
      </c>
    </row>
    <row r="8" spans="1:7" x14ac:dyDescent="0.25">
      <c r="A8" s="14">
        <v>5</v>
      </c>
      <c r="B8" s="6" t="s">
        <v>154</v>
      </c>
      <c r="C8" s="7" t="s">
        <v>47</v>
      </c>
      <c r="D8" s="7" t="s">
        <v>47</v>
      </c>
      <c r="E8" s="15" t="s">
        <v>12</v>
      </c>
      <c r="F8" s="15">
        <v>5</v>
      </c>
      <c r="G8" s="11">
        <v>1</v>
      </c>
    </row>
    <row r="9" spans="1:7" x14ac:dyDescent="0.25">
      <c r="A9" s="14">
        <v>6</v>
      </c>
      <c r="B9" s="6" t="s">
        <v>155</v>
      </c>
      <c r="C9" s="7" t="s">
        <v>48</v>
      </c>
      <c r="D9" s="7" t="s">
        <v>48</v>
      </c>
      <c r="E9" s="15" t="s">
        <v>12</v>
      </c>
      <c r="F9" s="15">
        <v>6</v>
      </c>
      <c r="G9" s="11">
        <v>1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Кнопка1_Щелчок">
                <anchor moveWithCells="1" sizeWithCells="1">
                  <from>
                    <xdr:col>1</xdr:col>
                    <xdr:colOff>876300</xdr:colOff>
                    <xdr:row>0</xdr:row>
                    <xdr:rowOff>76200</xdr:rowOff>
                  </from>
                  <to>
                    <xdr:col>1</xdr:col>
                    <xdr:colOff>1790700</xdr:colOff>
                    <xdr:row>0</xdr:row>
                    <xdr:rowOff>447675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6"/>
  <dimension ref="A1:AW167"/>
  <sheetViews>
    <sheetView zoomScale="90" zoomScaleNormal="90" workbookViewId="0">
      <selection activeCell="C172" sqref="C172"/>
    </sheetView>
  </sheetViews>
  <sheetFormatPr defaultRowHeight="15" x14ac:dyDescent="0.25"/>
  <cols>
    <col min="1" max="1" width="6.7109375" bestFit="1" customWidth="1"/>
    <col min="2" max="2" width="69.28515625" bestFit="1" customWidth="1"/>
    <col min="3" max="3" width="65.85546875" customWidth="1"/>
    <col min="4" max="4" width="26.42578125" customWidth="1"/>
    <col min="5" max="5" width="104.28515625" customWidth="1"/>
    <col min="6" max="6" width="3.85546875" customWidth="1"/>
    <col min="7" max="7" width="2" bestFit="1" customWidth="1"/>
    <col min="8" max="8" width="4.42578125" bestFit="1" customWidth="1"/>
    <col min="9" max="9" width="4" bestFit="1" customWidth="1"/>
    <col min="10" max="10" width="4.42578125" bestFit="1" customWidth="1"/>
    <col min="11" max="14" width="4" bestFit="1" customWidth="1"/>
    <col min="15" max="25" width="3" bestFit="1" customWidth="1"/>
    <col min="26" max="27" width="3.28515625" bestFit="1" customWidth="1"/>
    <col min="28" max="35" width="3" bestFit="1" customWidth="1"/>
    <col min="36" max="49" width="3.42578125" bestFit="1" customWidth="1"/>
  </cols>
  <sheetData>
    <row r="1" spans="1:49" ht="40.5" customHeight="1" x14ac:dyDescent="0.25"/>
    <row r="3" spans="1:49" x14ac:dyDescent="0.25">
      <c r="A3" s="74" t="s">
        <v>14</v>
      </c>
      <c r="B3" s="75" t="s">
        <v>0</v>
      </c>
      <c r="C3" s="75" t="s">
        <v>1</v>
      </c>
      <c r="D3" s="75" t="s">
        <v>2</v>
      </c>
      <c r="E3" s="76" t="s">
        <v>11</v>
      </c>
    </row>
    <row r="4" spans="1:49" x14ac:dyDescent="0.25">
      <c r="A4" s="82">
        <v>1</v>
      </c>
      <c r="B4" s="82" t="s">
        <v>218</v>
      </c>
      <c r="C4" s="80" t="s">
        <v>108</v>
      </c>
      <c r="D4" s="57" t="s">
        <v>143</v>
      </c>
      <c r="E4" s="58" t="s">
        <v>208</v>
      </c>
      <c r="F4" s="25"/>
      <c r="G4" s="26"/>
      <c r="H4" s="25">
        <v>230</v>
      </c>
      <c r="I4" s="30"/>
      <c r="J4" s="26"/>
      <c r="K4" s="25"/>
      <c r="L4" s="26"/>
      <c r="M4" s="25"/>
      <c r="N4" s="26"/>
      <c r="O4" s="25"/>
      <c r="P4" s="26"/>
      <c r="Q4" s="25"/>
      <c r="R4" s="26"/>
      <c r="S4" s="25"/>
      <c r="T4" s="26"/>
      <c r="U4" s="25"/>
      <c r="V4" s="26"/>
      <c r="W4" s="25"/>
      <c r="X4" s="26"/>
      <c r="Y4" s="25"/>
      <c r="Z4" s="26"/>
      <c r="AA4" s="25"/>
      <c r="AB4" s="26"/>
      <c r="AC4" s="25"/>
      <c r="AD4" s="26"/>
      <c r="AE4" s="25"/>
      <c r="AF4" s="26"/>
      <c r="AG4" s="25"/>
      <c r="AH4" s="26"/>
      <c r="AI4" s="25"/>
      <c r="AJ4" s="26"/>
      <c r="AK4" s="30"/>
      <c r="AL4" s="26"/>
      <c r="AM4" s="25"/>
      <c r="AN4" s="26"/>
      <c r="AO4" s="25"/>
      <c r="AP4" s="26"/>
      <c r="AQ4" s="25"/>
      <c r="AR4" s="26"/>
      <c r="AS4" s="25"/>
      <c r="AT4" s="26"/>
      <c r="AU4" s="25"/>
      <c r="AV4" s="26"/>
      <c r="AW4" s="25"/>
    </row>
    <row r="5" spans="1:49" x14ac:dyDescent="0.25">
      <c r="A5" s="81">
        <v>2</v>
      </c>
      <c r="B5" s="81" t="s">
        <v>219</v>
      </c>
      <c r="C5" s="1" t="s">
        <v>161</v>
      </c>
      <c r="D5" s="61" t="s">
        <v>143</v>
      </c>
      <c r="E5" s="62" t="s">
        <v>204</v>
      </c>
      <c r="H5" s="26">
        <v>231</v>
      </c>
      <c r="I5" s="25">
        <v>38</v>
      </c>
      <c r="J5" s="26">
        <v>42</v>
      </c>
    </row>
    <row r="6" spans="1:49" x14ac:dyDescent="0.25">
      <c r="A6" s="82">
        <v>3</v>
      </c>
      <c r="B6" s="82" t="s">
        <v>220</v>
      </c>
      <c r="C6" s="80" t="s">
        <v>162</v>
      </c>
      <c r="D6" s="57" t="s">
        <v>143</v>
      </c>
      <c r="E6" s="63" t="s">
        <v>207</v>
      </c>
      <c r="H6" s="25">
        <v>232</v>
      </c>
      <c r="I6" s="25">
        <v>19</v>
      </c>
      <c r="J6" s="26">
        <v>22</v>
      </c>
      <c r="K6" s="25">
        <v>30</v>
      </c>
      <c r="L6" s="26">
        <v>33</v>
      </c>
      <c r="M6" s="25">
        <v>37</v>
      </c>
      <c r="N6" s="26">
        <v>41</v>
      </c>
    </row>
    <row r="7" spans="1:49" x14ac:dyDescent="0.25">
      <c r="A7" s="81">
        <v>4</v>
      </c>
      <c r="B7" s="81" t="s">
        <v>221</v>
      </c>
      <c r="C7" s="1" t="s">
        <v>163</v>
      </c>
      <c r="D7" s="61" t="s">
        <v>143</v>
      </c>
      <c r="E7" s="62" t="s">
        <v>205</v>
      </c>
      <c r="H7" s="26">
        <v>233</v>
      </c>
      <c r="I7" s="25">
        <v>21</v>
      </c>
      <c r="J7" s="26">
        <v>24</v>
      </c>
      <c r="K7" s="25">
        <v>28</v>
      </c>
      <c r="L7" s="26">
        <v>32</v>
      </c>
      <c r="M7" s="25">
        <v>35</v>
      </c>
      <c r="N7" s="26">
        <v>40</v>
      </c>
      <c r="O7" s="30">
        <v>43</v>
      </c>
    </row>
    <row r="8" spans="1:49" x14ac:dyDescent="0.25">
      <c r="A8" s="82">
        <v>5</v>
      </c>
      <c r="B8" s="82" t="s">
        <v>222</v>
      </c>
      <c r="C8" s="80" t="s">
        <v>164</v>
      </c>
      <c r="D8" s="57" t="s">
        <v>143</v>
      </c>
      <c r="E8" s="63" t="s">
        <v>206</v>
      </c>
      <c r="H8" s="25">
        <v>234</v>
      </c>
      <c r="I8" s="25">
        <v>20</v>
      </c>
      <c r="J8" s="26">
        <v>23</v>
      </c>
      <c r="K8" s="25">
        <v>27</v>
      </c>
      <c r="L8" s="26">
        <v>31</v>
      </c>
      <c r="M8" s="25">
        <v>34</v>
      </c>
      <c r="N8" s="26">
        <v>39</v>
      </c>
    </row>
    <row r="9" spans="1:49" x14ac:dyDescent="0.25">
      <c r="A9" s="81">
        <v>6</v>
      </c>
      <c r="B9" s="84" t="s">
        <v>223</v>
      </c>
      <c r="C9" s="1" t="s">
        <v>103</v>
      </c>
      <c r="D9" s="61" t="s">
        <v>143</v>
      </c>
      <c r="E9" s="62" t="s">
        <v>232</v>
      </c>
      <c r="H9" s="26">
        <v>235</v>
      </c>
      <c r="I9" s="25">
        <v>88</v>
      </c>
      <c r="J9" s="26">
        <v>92</v>
      </c>
      <c r="K9" s="41"/>
    </row>
    <row r="10" spans="1:49" x14ac:dyDescent="0.25">
      <c r="A10" s="82">
        <v>7</v>
      </c>
      <c r="B10" s="85" t="s">
        <v>224</v>
      </c>
      <c r="C10" s="80" t="s">
        <v>104</v>
      </c>
      <c r="D10" s="57" t="s">
        <v>143</v>
      </c>
      <c r="E10" s="64" t="s">
        <v>231</v>
      </c>
      <c r="H10" s="25">
        <v>236</v>
      </c>
      <c r="I10" s="25">
        <v>69</v>
      </c>
      <c r="J10" s="26">
        <v>72</v>
      </c>
      <c r="K10" s="25">
        <v>80</v>
      </c>
      <c r="L10" s="26">
        <v>83</v>
      </c>
      <c r="M10" s="25">
        <v>87</v>
      </c>
      <c r="N10" s="26">
        <v>91</v>
      </c>
    </row>
    <row r="11" spans="1:49" x14ac:dyDescent="0.25">
      <c r="A11" s="81">
        <v>8</v>
      </c>
      <c r="B11" s="84" t="s">
        <v>225</v>
      </c>
      <c r="C11" s="1" t="s">
        <v>105</v>
      </c>
      <c r="D11" s="61" t="s">
        <v>143</v>
      </c>
      <c r="E11" s="65" t="s">
        <v>230</v>
      </c>
      <c r="H11" s="26">
        <v>237</v>
      </c>
      <c r="I11" s="25">
        <v>71</v>
      </c>
      <c r="J11" s="26">
        <v>74</v>
      </c>
      <c r="K11" s="25">
        <v>78</v>
      </c>
      <c r="L11" s="26">
        <v>82</v>
      </c>
      <c r="M11" s="25">
        <v>85</v>
      </c>
      <c r="N11" s="26">
        <v>90</v>
      </c>
      <c r="O11" s="25">
        <v>93</v>
      </c>
    </row>
    <row r="12" spans="1:49" x14ac:dyDescent="0.25">
      <c r="A12" s="82">
        <v>9</v>
      </c>
      <c r="B12" s="85" t="s">
        <v>226</v>
      </c>
      <c r="C12" s="80" t="s">
        <v>106</v>
      </c>
      <c r="D12" s="57" t="s">
        <v>143</v>
      </c>
      <c r="E12" s="64" t="s">
        <v>229</v>
      </c>
      <c r="H12" s="25">
        <v>238</v>
      </c>
      <c r="I12" s="25">
        <v>70</v>
      </c>
      <c r="J12" s="26">
        <v>73</v>
      </c>
      <c r="K12" s="25">
        <v>77</v>
      </c>
      <c r="L12" s="26">
        <v>81</v>
      </c>
      <c r="M12" s="25">
        <v>84</v>
      </c>
      <c r="N12" s="26">
        <v>89</v>
      </c>
    </row>
    <row r="13" spans="1:49" x14ac:dyDescent="0.25">
      <c r="A13" s="81">
        <v>10</v>
      </c>
      <c r="B13" s="84" t="s">
        <v>227</v>
      </c>
      <c r="C13" s="1" t="s">
        <v>108</v>
      </c>
      <c r="D13" s="61" t="s">
        <v>143</v>
      </c>
      <c r="E13" s="65" t="s">
        <v>228</v>
      </c>
      <c r="H13" s="26">
        <v>239</v>
      </c>
      <c r="I13" s="26">
        <v>66</v>
      </c>
      <c r="J13" s="25">
        <v>67</v>
      </c>
      <c r="K13" s="26">
        <v>69</v>
      </c>
      <c r="L13" s="25">
        <v>70</v>
      </c>
      <c r="M13" s="26">
        <v>71</v>
      </c>
      <c r="N13" s="25">
        <v>72</v>
      </c>
      <c r="O13" s="26">
        <v>73</v>
      </c>
      <c r="P13" s="25">
        <v>74</v>
      </c>
      <c r="Q13" s="26">
        <v>76</v>
      </c>
      <c r="R13" s="25">
        <v>77</v>
      </c>
      <c r="S13" s="26">
        <v>78</v>
      </c>
      <c r="T13" s="25">
        <v>80</v>
      </c>
      <c r="U13" s="26">
        <v>81</v>
      </c>
      <c r="V13" s="25">
        <v>82</v>
      </c>
      <c r="W13" s="26">
        <v>83</v>
      </c>
      <c r="X13" s="25">
        <v>84</v>
      </c>
      <c r="Y13" s="26">
        <v>85</v>
      </c>
      <c r="Z13" s="25">
        <v>87</v>
      </c>
      <c r="AA13" s="26">
        <v>88</v>
      </c>
      <c r="AB13" s="25">
        <v>89</v>
      </c>
      <c r="AC13" s="26">
        <v>90</v>
      </c>
      <c r="AD13" s="25">
        <v>91</v>
      </c>
      <c r="AE13" s="26">
        <v>92</v>
      </c>
      <c r="AF13" s="25">
        <v>93</v>
      </c>
      <c r="AG13" s="26"/>
      <c r="AH13" s="25"/>
      <c r="AI13" s="26"/>
      <c r="AJ13" s="25"/>
    </row>
    <row r="14" spans="1:49" x14ac:dyDescent="0.25">
      <c r="A14" s="55">
        <v>11</v>
      </c>
      <c r="B14" s="56" t="s">
        <v>176</v>
      </c>
      <c r="C14" s="57" t="s">
        <v>234</v>
      </c>
      <c r="D14" s="57" t="s">
        <v>235</v>
      </c>
      <c r="E14" s="66" t="s">
        <v>605</v>
      </c>
      <c r="H14" s="25">
        <v>240</v>
      </c>
    </row>
    <row r="15" spans="1:49" x14ac:dyDescent="0.25">
      <c r="A15" s="59">
        <v>12</v>
      </c>
      <c r="B15" s="67" t="s">
        <v>177</v>
      </c>
      <c r="C15" s="61" t="s">
        <v>234</v>
      </c>
      <c r="D15" s="61" t="s">
        <v>235</v>
      </c>
      <c r="E15" s="68" t="s">
        <v>606</v>
      </c>
      <c r="H15" s="26">
        <v>241</v>
      </c>
    </row>
    <row r="16" spans="1:49" x14ac:dyDescent="0.25">
      <c r="A16" s="55">
        <v>13</v>
      </c>
      <c r="B16" s="69" t="s">
        <v>178</v>
      </c>
      <c r="C16" s="57" t="s">
        <v>234</v>
      </c>
      <c r="D16" s="57" t="s">
        <v>235</v>
      </c>
      <c r="E16" s="66" t="s">
        <v>607</v>
      </c>
      <c r="H16" s="25">
        <v>242</v>
      </c>
    </row>
    <row r="17" spans="1:8" x14ac:dyDescent="0.25">
      <c r="A17" s="59">
        <v>14</v>
      </c>
      <c r="B17" s="67" t="s">
        <v>179</v>
      </c>
      <c r="C17" s="61" t="s">
        <v>234</v>
      </c>
      <c r="D17" s="61" t="s">
        <v>235</v>
      </c>
      <c r="E17" s="68" t="s">
        <v>608</v>
      </c>
      <c r="H17" s="26">
        <v>243</v>
      </c>
    </row>
    <row r="18" spans="1:8" x14ac:dyDescent="0.25">
      <c r="A18" s="55">
        <v>15</v>
      </c>
      <c r="B18" s="69" t="s">
        <v>180</v>
      </c>
      <c r="C18" s="57" t="s">
        <v>234</v>
      </c>
      <c r="D18" s="57" t="s">
        <v>235</v>
      </c>
      <c r="E18" s="66" t="s">
        <v>609</v>
      </c>
      <c r="H18" s="25">
        <v>244</v>
      </c>
    </row>
    <row r="19" spans="1:8" x14ac:dyDescent="0.25">
      <c r="A19" s="59">
        <v>16</v>
      </c>
      <c r="B19" s="67" t="s">
        <v>181</v>
      </c>
      <c r="C19" s="61" t="s">
        <v>234</v>
      </c>
      <c r="D19" s="61" t="s">
        <v>235</v>
      </c>
      <c r="E19" s="68" t="s">
        <v>610</v>
      </c>
      <c r="H19" s="26">
        <v>245</v>
      </c>
    </row>
    <row r="20" spans="1:8" x14ac:dyDescent="0.25">
      <c r="A20" s="55">
        <v>17</v>
      </c>
      <c r="B20" s="69" t="s">
        <v>182</v>
      </c>
      <c r="C20" s="57" t="s">
        <v>234</v>
      </c>
      <c r="D20" s="57" t="s">
        <v>235</v>
      </c>
      <c r="E20" s="66" t="s">
        <v>611</v>
      </c>
      <c r="H20" s="25">
        <v>246</v>
      </c>
    </row>
    <row r="21" spans="1:8" x14ac:dyDescent="0.25">
      <c r="A21" s="59">
        <v>18</v>
      </c>
      <c r="B21" s="67" t="s">
        <v>183</v>
      </c>
      <c r="C21" s="61" t="s">
        <v>234</v>
      </c>
      <c r="D21" s="61" t="s">
        <v>235</v>
      </c>
      <c r="E21" s="68" t="s">
        <v>612</v>
      </c>
      <c r="H21" s="26">
        <v>247</v>
      </c>
    </row>
    <row r="22" spans="1:8" x14ac:dyDescent="0.25">
      <c r="A22" s="55">
        <v>19</v>
      </c>
      <c r="B22" s="69" t="s">
        <v>184</v>
      </c>
      <c r="C22" s="57" t="s">
        <v>234</v>
      </c>
      <c r="D22" s="57" t="s">
        <v>235</v>
      </c>
      <c r="E22" s="66" t="s">
        <v>613</v>
      </c>
      <c r="H22" s="25">
        <v>248</v>
      </c>
    </row>
    <row r="23" spans="1:8" x14ac:dyDescent="0.25">
      <c r="A23" s="59">
        <v>20</v>
      </c>
      <c r="B23" s="67" t="s">
        <v>185</v>
      </c>
      <c r="C23" s="61" t="s">
        <v>234</v>
      </c>
      <c r="D23" s="61" t="s">
        <v>235</v>
      </c>
      <c r="E23" s="68" t="s">
        <v>614</v>
      </c>
      <c r="H23" s="26">
        <v>249</v>
      </c>
    </row>
    <row r="24" spans="1:8" x14ac:dyDescent="0.25">
      <c r="A24" s="55">
        <v>21</v>
      </c>
      <c r="B24" s="69" t="s">
        <v>186</v>
      </c>
      <c r="C24" s="57" t="s">
        <v>234</v>
      </c>
      <c r="D24" s="57" t="s">
        <v>235</v>
      </c>
      <c r="E24" s="66" t="s">
        <v>615</v>
      </c>
      <c r="H24" s="25">
        <v>250</v>
      </c>
    </row>
    <row r="25" spans="1:8" x14ac:dyDescent="0.25">
      <c r="A25" s="59">
        <v>22</v>
      </c>
      <c r="B25" s="67" t="s">
        <v>187</v>
      </c>
      <c r="C25" s="61" t="s">
        <v>234</v>
      </c>
      <c r="D25" s="61" t="s">
        <v>235</v>
      </c>
      <c r="E25" s="68" t="s">
        <v>616</v>
      </c>
      <c r="H25" s="26">
        <v>251</v>
      </c>
    </row>
    <row r="26" spans="1:8" x14ac:dyDescent="0.25">
      <c r="A26" s="55">
        <v>23</v>
      </c>
      <c r="B26" s="69" t="s">
        <v>188</v>
      </c>
      <c r="C26" s="57" t="s">
        <v>234</v>
      </c>
      <c r="D26" s="57" t="s">
        <v>235</v>
      </c>
      <c r="E26" s="66" t="s">
        <v>617</v>
      </c>
      <c r="H26" s="25">
        <v>252</v>
      </c>
    </row>
    <row r="27" spans="1:8" x14ac:dyDescent="0.25">
      <c r="A27" s="59">
        <v>24</v>
      </c>
      <c r="B27" s="67" t="s">
        <v>189</v>
      </c>
      <c r="C27" s="61" t="s">
        <v>234</v>
      </c>
      <c r="D27" s="61" t="s">
        <v>235</v>
      </c>
      <c r="E27" s="68" t="s">
        <v>618</v>
      </c>
      <c r="H27" s="26">
        <v>253</v>
      </c>
    </row>
    <row r="28" spans="1:8" x14ac:dyDescent="0.25">
      <c r="A28" s="55">
        <v>25</v>
      </c>
      <c r="B28" s="69" t="s">
        <v>190</v>
      </c>
      <c r="C28" s="57" t="s">
        <v>234</v>
      </c>
      <c r="D28" s="57" t="s">
        <v>235</v>
      </c>
      <c r="E28" s="66" t="s">
        <v>619</v>
      </c>
      <c r="H28" s="25">
        <v>254</v>
      </c>
    </row>
    <row r="29" spans="1:8" x14ac:dyDescent="0.25">
      <c r="A29" s="59">
        <v>26</v>
      </c>
      <c r="B29" s="67" t="s">
        <v>191</v>
      </c>
      <c r="C29" s="61" t="s">
        <v>234</v>
      </c>
      <c r="D29" s="61" t="s">
        <v>235</v>
      </c>
      <c r="E29" s="68" t="s">
        <v>620</v>
      </c>
      <c r="H29" s="26">
        <v>255</v>
      </c>
    </row>
    <row r="30" spans="1:8" x14ac:dyDescent="0.25">
      <c r="A30" s="55">
        <v>27</v>
      </c>
      <c r="B30" s="69" t="s">
        <v>192</v>
      </c>
      <c r="C30" s="57" t="s">
        <v>234</v>
      </c>
      <c r="D30" s="57" t="s">
        <v>235</v>
      </c>
      <c r="E30" s="66" t="s">
        <v>621</v>
      </c>
      <c r="H30" s="25">
        <v>256</v>
      </c>
    </row>
    <row r="31" spans="1:8" x14ac:dyDescent="0.25">
      <c r="A31" s="59">
        <v>28</v>
      </c>
      <c r="B31" s="67" t="s">
        <v>193</v>
      </c>
      <c r="C31" s="61" t="s">
        <v>234</v>
      </c>
      <c r="D31" s="61" t="s">
        <v>235</v>
      </c>
      <c r="E31" s="68" t="s">
        <v>622</v>
      </c>
      <c r="H31" s="26">
        <v>257</v>
      </c>
    </row>
    <row r="32" spans="1:8" x14ac:dyDescent="0.25">
      <c r="A32" s="55">
        <v>29</v>
      </c>
      <c r="B32" s="69" t="s">
        <v>194</v>
      </c>
      <c r="C32" s="57" t="s">
        <v>234</v>
      </c>
      <c r="D32" s="57" t="s">
        <v>235</v>
      </c>
      <c r="E32" s="66" t="s">
        <v>623</v>
      </c>
      <c r="H32" s="25">
        <v>258</v>
      </c>
    </row>
    <row r="33" spans="1:8" x14ac:dyDescent="0.25">
      <c r="A33" s="59">
        <v>30</v>
      </c>
      <c r="B33" s="67" t="s">
        <v>195</v>
      </c>
      <c r="C33" s="61" t="s">
        <v>234</v>
      </c>
      <c r="D33" s="61" t="s">
        <v>235</v>
      </c>
      <c r="E33" s="68" t="s">
        <v>624</v>
      </c>
      <c r="H33" s="26">
        <v>259</v>
      </c>
    </row>
    <row r="34" spans="1:8" x14ac:dyDescent="0.25">
      <c r="A34" s="55">
        <v>31</v>
      </c>
      <c r="B34" s="69" t="s">
        <v>196</v>
      </c>
      <c r="C34" s="57" t="s">
        <v>234</v>
      </c>
      <c r="D34" s="57" t="s">
        <v>235</v>
      </c>
      <c r="E34" s="66" t="s">
        <v>625</v>
      </c>
      <c r="H34" s="25">
        <v>260</v>
      </c>
    </row>
    <row r="35" spans="1:8" x14ac:dyDescent="0.25">
      <c r="A35" s="59">
        <v>32</v>
      </c>
      <c r="B35" s="67" t="s">
        <v>197</v>
      </c>
      <c r="C35" s="61" t="s">
        <v>234</v>
      </c>
      <c r="D35" s="61" t="s">
        <v>235</v>
      </c>
      <c r="E35" s="68" t="s">
        <v>626</v>
      </c>
      <c r="H35" s="26">
        <v>261</v>
      </c>
    </row>
    <row r="36" spans="1:8" x14ac:dyDescent="0.25">
      <c r="A36" s="55">
        <v>33</v>
      </c>
      <c r="B36" s="69" t="s">
        <v>198</v>
      </c>
      <c r="C36" s="57" t="s">
        <v>234</v>
      </c>
      <c r="D36" s="57" t="s">
        <v>235</v>
      </c>
      <c r="E36" s="66" t="s">
        <v>627</v>
      </c>
      <c r="H36" s="25">
        <v>262</v>
      </c>
    </row>
    <row r="37" spans="1:8" x14ac:dyDescent="0.25">
      <c r="A37" s="59">
        <v>34</v>
      </c>
      <c r="B37" s="67" t="s">
        <v>199</v>
      </c>
      <c r="C37" s="61" t="s">
        <v>234</v>
      </c>
      <c r="D37" s="61" t="s">
        <v>235</v>
      </c>
      <c r="E37" s="68" t="s">
        <v>628</v>
      </c>
      <c r="H37" s="26">
        <v>263</v>
      </c>
    </row>
    <row r="38" spans="1:8" x14ac:dyDescent="0.25">
      <c r="A38" s="55">
        <v>35</v>
      </c>
      <c r="B38" s="69" t="s">
        <v>200</v>
      </c>
      <c r="C38" s="57" t="s">
        <v>234</v>
      </c>
      <c r="D38" s="57" t="s">
        <v>235</v>
      </c>
      <c r="E38" s="66" t="s">
        <v>629</v>
      </c>
      <c r="H38" s="25">
        <v>264</v>
      </c>
    </row>
    <row r="39" spans="1:8" x14ac:dyDescent="0.25">
      <c r="A39" s="59">
        <v>36</v>
      </c>
      <c r="B39" s="67" t="s">
        <v>233</v>
      </c>
      <c r="C39" s="61" t="s">
        <v>234</v>
      </c>
      <c r="D39" s="61" t="s">
        <v>235</v>
      </c>
      <c r="E39" s="68" t="s">
        <v>630</v>
      </c>
      <c r="H39" s="26">
        <v>265</v>
      </c>
    </row>
    <row r="40" spans="1:8" x14ac:dyDescent="0.25">
      <c r="A40" s="55">
        <v>37</v>
      </c>
      <c r="B40" s="69" t="s">
        <v>161</v>
      </c>
      <c r="C40" s="57" t="s">
        <v>234</v>
      </c>
      <c r="D40" s="57" t="s">
        <v>235</v>
      </c>
      <c r="E40" s="66" t="s">
        <v>631</v>
      </c>
      <c r="H40" s="25">
        <v>266</v>
      </c>
    </row>
    <row r="41" spans="1:8" x14ac:dyDescent="0.25">
      <c r="A41" s="59">
        <v>38</v>
      </c>
      <c r="B41" s="67" t="s">
        <v>162</v>
      </c>
      <c r="C41" s="61" t="s">
        <v>234</v>
      </c>
      <c r="D41" s="61" t="s">
        <v>235</v>
      </c>
      <c r="E41" s="68" t="s">
        <v>632</v>
      </c>
      <c r="H41" s="26">
        <v>267</v>
      </c>
    </row>
    <row r="42" spans="1:8" x14ac:dyDescent="0.25">
      <c r="A42" s="55">
        <v>39</v>
      </c>
      <c r="B42" s="69" t="s">
        <v>163</v>
      </c>
      <c r="C42" s="57" t="s">
        <v>234</v>
      </c>
      <c r="D42" s="57" t="s">
        <v>235</v>
      </c>
      <c r="E42" s="66" t="s">
        <v>633</v>
      </c>
      <c r="H42" s="25">
        <v>268</v>
      </c>
    </row>
    <row r="43" spans="1:8" x14ac:dyDescent="0.25">
      <c r="A43" s="59">
        <v>40</v>
      </c>
      <c r="B43" s="67" t="s">
        <v>164</v>
      </c>
      <c r="C43" s="61" t="s">
        <v>234</v>
      </c>
      <c r="D43" s="61" t="s">
        <v>235</v>
      </c>
      <c r="E43" s="68" t="s">
        <v>634</v>
      </c>
      <c r="H43" s="26">
        <v>269</v>
      </c>
    </row>
    <row r="44" spans="1:8" s="42" customFormat="1" x14ac:dyDescent="0.25">
      <c r="A44" s="55">
        <v>41</v>
      </c>
      <c r="B44" s="56" t="s">
        <v>176</v>
      </c>
      <c r="C44" s="70" t="s">
        <v>236</v>
      </c>
      <c r="D44" s="70" t="s">
        <v>235</v>
      </c>
      <c r="E44" s="71" t="s">
        <v>635</v>
      </c>
      <c r="H44" s="25">
        <v>270</v>
      </c>
    </row>
    <row r="45" spans="1:8" s="42" customFormat="1" x14ac:dyDescent="0.25">
      <c r="A45" s="59">
        <v>42</v>
      </c>
      <c r="B45" s="67" t="s">
        <v>177</v>
      </c>
      <c r="C45" s="70" t="s">
        <v>236</v>
      </c>
      <c r="D45" s="70" t="s">
        <v>235</v>
      </c>
      <c r="E45" s="71" t="s">
        <v>636</v>
      </c>
      <c r="H45" s="26">
        <v>271</v>
      </c>
    </row>
    <row r="46" spans="1:8" s="42" customFormat="1" x14ac:dyDescent="0.25">
      <c r="A46" s="55">
        <v>43</v>
      </c>
      <c r="B46" s="69" t="s">
        <v>178</v>
      </c>
      <c r="C46" s="70" t="s">
        <v>236</v>
      </c>
      <c r="D46" s="70" t="s">
        <v>235</v>
      </c>
      <c r="E46" s="71" t="s">
        <v>637</v>
      </c>
      <c r="H46" s="25">
        <v>272</v>
      </c>
    </row>
    <row r="47" spans="1:8" s="42" customFormat="1" x14ac:dyDescent="0.25">
      <c r="A47" s="59">
        <v>44</v>
      </c>
      <c r="B47" s="67" t="s">
        <v>179</v>
      </c>
      <c r="C47" s="70" t="s">
        <v>236</v>
      </c>
      <c r="D47" s="70" t="s">
        <v>235</v>
      </c>
      <c r="E47" s="71" t="s">
        <v>638</v>
      </c>
      <c r="H47" s="26">
        <v>273</v>
      </c>
    </row>
    <row r="48" spans="1:8" s="42" customFormat="1" x14ac:dyDescent="0.25">
      <c r="A48" s="55">
        <v>45</v>
      </c>
      <c r="B48" s="69" t="s">
        <v>180</v>
      </c>
      <c r="C48" s="70" t="s">
        <v>236</v>
      </c>
      <c r="D48" s="70" t="s">
        <v>235</v>
      </c>
      <c r="E48" s="71" t="s">
        <v>639</v>
      </c>
      <c r="H48" s="25">
        <v>274</v>
      </c>
    </row>
    <row r="49" spans="1:8" s="42" customFormat="1" x14ac:dyDescent="0.25">
      <c r="A49" s="59">
        <v>46</v>
      </c>
      <c r="B49" s="67" t="s">
        <v>181</v>
      </c>
      <c r="C49" s="70" t="s">
        <v>236</v>
      </c>
      <c r="D49" s="70" t="s">
        <v>235</v>
      </c>
      <c r="E49" s="71" t="s">
        <v>640</v>
      </c>
      <c r="H49" s="26">
        <v>275</v>
      </c>
    </row>
    <row r="50" spans="1:8" s="42" customFormat="1" x14ac:dyDescent="0.25">
      <c r="A50" s="55">
        <v>47</v>
      </c>
      <c r="B50" s="69" t="s">
        <v>182</v>
      </c>
      <c r="C50" s="70" t="s">
        <v>236</v>
      </c>
      <c r="D50" s="70" t="s">
        <v>235</v>
      </c>
      <c r="E50" s="71" t="s">
        <v>641</v>
      </c>
      <c r="H50" s="25">
        <v>276</v>
      </c>
    </row>
    <row r="51" spans="1:8" s="42" customFormat="1" x14ac:dyDescent="0.25">
      <c r="A51" s="59">
        <v>48</v>
      </c>
      <c r="B51" s="67" t="s">
        <v>183</v>
      </c>
      <c r="C51" s="70" t="s">
        <v>236</v>
      </c>
      <c r="D51" s="70" t="s">
        <v>235</v>
      </c>
      <c r="E51" s="71" t="s">
        <v>642</v>
      </c>
      <c r="H51" s="26">
        <v>277</v>
      </c>
    </row>
    <row r="52" spans="1:8" s="42" customFormat="1" x14ac:dyDescent="0.25">
      <c r="A52" s="55">
        <v>49</v>
      </c>
      <c r="B52" s="69" t="s">
        <v>184</v>
      </c>
      <c r="C52" s="70" t="s">
        <v>236</v>
      </c>
      <c r="D52" s="70" t="s">
        <v>235</v>
      </c>
      <c r="E52" s="71" t="s">
        <v>643</v>
      </c>
      <c r="H52" s="25">
        <v>278</v>
      </c>
    </row>
    <row r="53" spans="1:8" s="42" customFormat="1" x14ac:dyDescent="0.25">
      <c r="A53" s="59">
        <v>50</v>
      </c>
      <c r="B53" s="67" t="s">
        <v>185</v>
      </c>
      <c r="C53" s="70" t="s">
        <v>236</v>
      </c>
      <c r="D53" s="70" t="s">
        <v>235</v>
      </c>
      <c r="E53" s="71" t="s">
        <v>644</v>
      </c>
      <c r="H53" s="26">
        <v>279</v>
      </c>
    </row>
    <row r="54" spans="1:8" s="42" customFormat="1" x14ac:dyDescent="0.25">
      <c r="A54" s="55">
        <v>51</v>
      </c>
      <c r="B54" s="69" t="s">
        <v>186</v>
      </c>
      <c r="C54" s="70" t="s">
        <v>236</v>
      </c>
      <c r="D54" s="70" t="s">
        <v>235</v>
      </c>
      <c r="E54" s="71" t="s">
        <v>645</v>
      </c>
      <c r="H54" s="25">
        <v>280</v>
      </c>
    </row>
    <row r="55" spans="1:8" s="42" customFormat="1" x14ac:dyDescent="0.25">
      <c r="A55" s="59">
        <v>52</v>
      </c>
      <c r="B55" s="67" t="s">
        <v>187</v>
      </c>
      <c r="C55" s="70" t="s">
        <v>236</v>
      </c>
      <c r="D55" s="70" t="s">
        <v>235</v>
      </c>
      <c r="E55" s="71" t="s">
        <v>646</v>
      </c>
      <c r="H55" s="26">
        <v>281</v>
      </c>
    </row>
    <row r="56" spans="1:8" s="42" customFormat="1" x14ac:dyDescent="0.25">
      <c r="A56" s="55">
        <v>53</v>
      </c>
      <c r="B56" s="69" t="s">
        <v>188</v>
      </c>
      <c r="C56" s="70" t="s">
        <v>236</v>
      </c>
      <c r="D56" s="70" t="s">
        <v>235</v>
      </c>
      <c r="E56" s="71" t="s">
        <v>647</v>
      </c>
      <c r="H56" s="25">
        <v>282</v>
      </c>
    </row>
    <row r="57" spans="1:8" s="42" customFormat="1" x14ac:dyDescent="0.25">
      <c r="A57" s="59">
        <v>54</v>
      </c>
      <c r="B57" s="67" t="s">
        <v>189</v>
      </c>
      <c r="C57" s="70" t="s">
        <v>236</v>
      </c>
      <c r="D57" s="70" t="s">
        <v>235</v>
      </c>
      <c r="E57" s="71" t="s">
        <v>648</v>
      </c>
      <c r="H57" s="26">
        <v>283</v>
      </c>
    </row>
    <row r="58" spans="1:8" s="42" customFormat="1" x14ac:dyDescent="0.25">
      <c r="A58" s="55">
        <v>55</v>
      </c>
      <c r="B58" s="69" t="s">
        <v>190</v>
      </c>
      <c r="C58" s="70" t="s">
        <v>236</v>
      </c>
      <c r="D58" s="70" t="s">
        <v>235</v>
      </c>
      <c r="E58" s="71" t="s">
        <v>649</v>
      </c>
      <c r="H58" s="25">
        <v>284</v>
      </c>
    </row>
    <row r="59" spans="1:8" s="42" customFormat="1" x14ac:dyDescent="0.25">
      <c r="A59" s="59">
        <v>56</v>
      </c>
      <c r="B59" s="67" t="s">
        <v>191</v>
      </c>
      <c r="C59" s="70" t="s">
        <v>236</v>
      </c>
      <c r="D59" s="70" t="s">
        <v>235</v>
      </c>
      <c r="E59" s="71" t="s">
        <v>650</v>
      </c>
      <c r="H59" s="26">
        <v>285</v>
      </c>
    </row>
    <row r="60" spans="1:8" s="42" customFormat="1" x14ac:dyDescent="0.25">
      <c r="A60" s="55">
        <v>57</v>
      </c>
      <c r="B60" s="69" t="s">
        <v>192</v>
      </c>
      <c r="C60" s="70" t="s">
        <v>236</v>
      </c>
      <c r="D60" s="70" t="s">
        <v>235</v>
      </c>
      <c r="E60" s="71" t="s">
        <v>651</v>
      </c>
      <c r="H60" s="25">
        <v>286</v>
      </c>
    </row>
    <row r="61" spans="1:8" s="42" customFormat="1" x14ac:dyDescent="0.25">
      <c r="A61" s="59">
        <v>58</v>
      </c>
      <c r="B61" s="67" t="s">
        <v>193</v>
      </c>
      <c r="C61" s="70" t="s">
        <v>236</v>
      </c>
      <c r="D61" s="70" t="s">
        <v>235</v>
      </c>
      <c r="E61" s="71" t="s">
        <v>652</v>
      </c>
      <c r="H61" s="26">
        <v>287</v>
      </c>
    </row>
    <row r="62" spans="1:8" s="42" customFormat="1" x14ac:dyDescent="0.25">
      <c r="A62" s="55">
        <v>59</v>
      </c>
      <c r="B62" s="69" t="s">
        <v>194</v>
      </c>
      <c r="C62" s="70" t="s">
        <v>236</v>
      </c>
      <c r="D62" s="70" t="s">
        <v>235</v>
      </c>
      <c r="E62" s="71" t="s">
        <v>653</v>
      </c>
      <c r="H62" s="25">
        <v>288</v>
      </c>
    </row>
    <row r="63" spans="1:8" s="42" customFormat="1" x14ac:dyDescent="0.25">
      <c r="A63" s="59">
        <v>60</v>
      </c>
      <c r="B63" s="67" t="s">
        <v>195</v>
      </c>
      <c r="C63" s="70" t="s">
        <v>236</v>
      </c>
      <c r="D63" s="70" t="s">
        <v>235</v>
      </c>
      <c r="E63" s="71" t="s">
        <v>654</v>
      </c>
      <c r="H63" s="26">
        <v>289</v>
      </c>
    </row>
    <row r="64" spans="1:8" s="42" customFormat="1" x14ac:dyDescent="0.25">
      <c r="A64" s="55">
        <v>61</v>
      </c>
      <c r="B64" s="69" t="s">
        <v>196</v>
      </c>
      <c r="C64" s="70" t="s">
        <v>236</v>
      </c>
      <c r="D64" s="70" t="s">
        <v>235</v>
      </c>
      <c r="E64" s="71" t="s">
        <v>655</v>
      </c>
      <c r="H64" s="25">
        <v>290</v>
      </c>
    </row>
    <row r="65" spans="1:8" s="42" customFormat="1" x14ac:dyDescent="0.25">
      <c r="A65" s="59">
        <v>62</v>
      </c>
      <c r="B65" s="67" t="s">
        <v>197</v>
      </c>
      <c r="C65" s="70" t="s">
        <v>236</v>
      </c>
      <c r="D65" s="70" t="s">
        <v>235</v>
      </c>
      <c r="E65" s="71" t="s">
        <v>656</v>
      </c>
      <c r="H65" s="26">
        <v>291</v>
      </c>
    </row>
    <row r="66" spans="1:8" s="42" customFormat="1" x14ac:dyDescent="0.25">
      <c r="A66" s="55">
        <v>63</v>
      </c>
      <c r="B66" s="69" t="s">
        <v>198</v>
      </c>
      <c r="C66" s="70" t="s">
        <v>236</v>
      </c>
      <c r="D66" s="70" t="s">
        <v>235</v>
      </c>
      <c r="E66" s="71" t="s">
        <v>657</v>
      </c>
      <c r="H66" s="25">
        <v>292</v>
      </c>
    </row>
    <row r="67" spans="1:8" s="42" customFormat="1" x14ac:dyDescent="0.25">
      <c r="A67" s="59">
        <v>64</v>
      </c>
      <c r="B67" s="67" t="s">
        <v>199</v>
      </c>
      <c r="C67" s="70" t="s">
        <v>236</v>
      </c>
      <c r="D67" s="70" t="s">
        <v>235</v>
      </c>
      <c r="E67" s="71" t="s">
        <v>658</v>
      </c>
      <c r="H67" s="26">
        <v>293</v>
      </c>
    </row>
    <row r="68" spans="1:8" s="42" customFormat="1" x14ac:dyDescent="0.25">
      <c r="A68" s="55">
        <v>65</v>
      </c>
      <c r="B68" s="69" t="s">
        <v>200</v>
      </c>
      <c r="C68" s="70" t="s">
        <v>236</v>
      </c>
      <c r="D68" s="70" t="s">
        <v>235</v>
      </c>
      <c r="E68" s="71" t="s">
        <v>659</v>
      </c>
      <c r="H68" s="25">
        <v>294</v>
      </c>
    </row>
    <row r="69" spans="1:8" s="42" customFormat="1" x14ac:dyDescent="0.25">
      <c r="A69" s="59">
        <v>66</v>
      </c>
      <c r="B69" s="67" t="s">
        <v>233</v>
      </c>
      <c r="C69" s="70" t="s">
        <v>236</v>
      </c>
      <c r="D69" s="70" t="s">
        <v>235</v>
      </c>
      <c r="E69" s="71" t="s">
        <v>660</v>
      </c>
      <c r="H69" s="26">
        <v>295</v>
      </c>
    </row>
    <row r="70" spans="1:8" s="42" customFormat="1" x14ac:dyDescent="0.25">
      <c r="A70" s="55">
        <v>67</v>
      </c>
      <c r="B70" s="69" t="s">
        <v>161</v>
      </c>
      <c r="C70" s="70" t="s">
        <v>236</v>
      </c>
      <c r="D70" s="70" t="s">
        <v>235</v>
      </c>
      <c r="E70" s="71" t="s">
        <v>661</v>
      </c>
      <c r="H70" s="25">
        <v>296</v>
      </c>
    </row>
    <row r="71" spans="1:8" s="42" customFormat="1" x14ac:dyDescent="0.25">
      <c r="A71" s="59">
        <v>68</v>
      </c>
      <c r="B71" s="67" t="s">
        <v>162</v>
      </c>
      <c r="C71" s="70" t="s">
        <v>236</v>
      </c>
      <c r="D71" s="70" t="s">
        <v>235</v>
      </c>
      <c r="E71" s="71" t="s">
        <v>662</v>
      </c>
      <c r="H71" s="26">
        <v>297</v>
      </c>
    </row>
    <row r="72" spans="1:8" s="42" customFormat="1" x14ac:dyDescent="0.25">
      <c r="A72" s="55">
        <v>69</v>
      </c>
      <c r="B72" s="69" t="s">
        <v>163</v>
      </c>
      <c r="C72" s="70" t="s">
        <v>236</v>
      </c>
      <c r="D72" s="70" t="s">
        <v>235</v>
      </c>
      <c r="E72" s="71" t="s">
        <v>663</v>
      </c>
      <c r="H72" s="25">
        <v>298</v>
      </c>
    </row>
    <row r="73" spans="1:8" s="42" customFormat="1" x14ac:dyDescent="0.25">
      <c r="A73" s="59">
        <v>70</v>
      </c>
      <c r="B73" s="67" t="s">
        <v>164</v>
      </c>
      <c r="C73" s="70" t="s">
        <v>236</v>
      </c>
      <c r="D73" s="70" t="s">
        <v>235</v>
      </c>
      <c r="E73" s="71" t="s">
        <v>664</v>
      </c>
      <c r="H73" s="26">
        <v>299</v>
      </c>
    </row>
    <row r="74" spans="1:8" x14ac:dyDescent="0.25">
      <c r="A74" s="55">
        <v>71</v>
      </c>
      <c r="B74" s="56" t="s">
        <v>405</v>
      </c>
      <c r="C74" s="57" t="s">
        <v>63</v>
      </c>
      <c r="D74" s="57" t="s">
        <v>410</v>
      </c>
      <c r="E74" s="71" t="s">
        <v>665</v>
      </c>
      <c r="H74" s="25">
        <v>300</v>
      </c>
    </row>
    <row r="75" spans="1:8" x14ac:dyDescent="0.25">
      <c r="A75" s="59">
        <v>72</v>
      </c>
      <c r="B75" s="67" t="s">
        <v>405</v>
      </c>
      <c r="C75" s="61" t="s">
        <v>62</v>
      </c>
      <c r="D75" s="61" t="s">
        <v>410</v>
      </c>
      <c r="E75" s="71" t="s">
        <v>666</v>
      </c>
      <c r="H75" s="26">
        <v>301</v>
      </c>
    </row>
    <row r="76" spans="1:8" x14ac:dyDescent="0.25">
      <c r="A76" s="55">
        <v>73</v>
      </c>
      <c r="B76" s="69" t="s">
        <v>406</v>
      </c>
      <c r="C76" s="57" t="s">
        <v>52</v>
      </c>
      <c r="D76" s="57" t="s">
        <v>410</v>
      </c>
      <c r="E76" s="71" t="s">
        <v>667</v>
      </c>
      <c r="H76" s="25">
        <v>302</v>
      </c>
    </row>
    <row r="77" spans="1:8" x14ac:dyDescent="0.25">
      <c r="A77" s="59">
        <v>74</v>
      </c>
      <c r="B77" s="67" t="s">
        <v>407</v>
      </c>
      <c r="C77" s="61" t="s">
        <v>61</v>
      </c>
      <c r="D77" s="61" t="s">
        <v>410</v>
      </c>
      <c r="E77" s="71" t="s">
        <v>668</v>
      </c>
      <c r="H77" s="26">
        <v>303</v>
      </c>
    </row>
    <row r="78" spans="1:8" x14ac:dyDescent="0.25">
      <c r="A78" s="55">
        <v>75</v>
      </c>
      <c r="B78" s="69" t="s">
        <v>407</v>
      </c>
      <c r="C78" s="57" t="s">
        <v>59</v>
      </c>
      <c r="D78" s="57" t="s">
        <v>410</v>
      </c>
      <c r="E78" s="71" t="s">
        <v>669</v>
      </c>
      <c r="H78" s="25">
        <v>304</v>
      </c>
    </row>
    <row r="79" spans="1:8" x14ac:dyDescent="0.25">
      <c r="A79" s="59">
        <v>76</v>
      </c>
      <c r="B79" s="67" t="s">
        <v>408</v>
      </c>
      <c r="C79" s="61" t="s">
        <v>64</v>
      </c>
      <c r="D79" s="61" t="s">
        <v>410</v>
      </c>
      <c r="E79" s="71" t="s">
        <v>670</v>
      </c>
      <c r="H79" s="26">
        <v>305</v>
      </c>
    </row>
    <row r="80" spans="1:8" x14ac:dyDescent="0.25">
      <c r="A80" s="55">
        <v>77</v>
      </c>
      <c r="B80" s="69" t="s">
        <v>409</v>
      </c>
      <c r="C80" s="57" t="s">
        <v>65</v>
      </c>
      <c r="D80" s="57" t="s">
        <v>410</v>
      </c>
      <c r="E80" s="71" t="s">
        <v>671</v>
      </c>
      <c r="H80" s="25">
        <v>306</v>
      </c>
    </row>
    <row r="81" spans="1:8" x14ac:dyDescent="0.25">
      <c r="A81" s="59">
        <v>78</v>
      </c>
      <c r="B81" s="60" t="s">
        <v>416</v>
      </c>
      <c r="C81" s="61" t="s">
        <v>411</v>
      </c>
      <c r="D81" s="61" t="s">
        <v>235</v>
      </c>
      <c r="E81" s="71" t="s">
        <v>672</v>
      </c>
      <c r="H81" s="26">
        <v>307</v>
      </c>
    </row>
    <row r="82" spans="1:8" x14ac:dyDescent="0.25">
      <c r="A82" s="55">
        <v>79</v>
      </c>
      <c r="B82" s="56" t="s">
        <v>416</v>
      </c>
      <c r="C82" s="57" t="s">
        <v>412</v>
      </c>
      <c r="D82" s="57" t="s">
        <v>235</v>
      </c>
      <c r="E82" s="71" t="s">
        <v>673</v>
      </c>
      <c r="H82" s="25">
        <v>308</v>
      </c>
    </row>
    <row r="83" spans="1:8" x14ac:dyDescent="0.25">
      <c r="A83" s="59">
        <v>80</v>
      </c>
      <c r="B83" s="60" t="s">
        <v>416</v>
      </c>
      <c r="C83" s="61" t="s">
        <v>413</v>
      </c>
      <c r="D83" s="61" t="s">
        <v>235</v>
      </c>
      <c r="E83" s="71" t="s">
        <v>674</v>
      </c>
      <c r="H83" s="26">
        <v>309</v>
      </c>
    </row>
    <row r="84" spans="1:8" x14ac:dyDescent="0.25">
      <c r="A84" s="55">
        <v>81</v>
      </c>
      <c r="B84" s="56" t="s">
        <v>416</v>
      </c>
      <c r="C84" s="57" t="s">
        <v>414</v>
      </c>
      <c r="D84" s="57" t="s">
        <v>235</v>
      </c>
      <c r="E84" s="71" t="s">
        <v>675</v>
      </c>
      <c r="H84" s="25">
        <v>310</v>
      </c>
    </row>
    <row r="85" spans="1:8" x14ac:dyDescent="0.25">
      <c r="A85" s="59">
        <v>82</v>
      </c>
      <c r="B85" s="72" t="s">
        <v>416</v>
      </c>
      <c r="C85" s="73" t="s">
        <v>415</v>
      </c>
      <c r="D85" s="73" t="s">
        <v>235</v>
      </c>
      <c r="E85" s="71" t="s">
        <v>629</v>
      </c>
      <c r="H85" s="26">
        <v>311</v>
      </c>
    </row>
    <row r="86" spans="1:8" x14ac:dyDescent="0.25">
      <c r="A86" s="55">
        <v>83</v>
      </c>
      <c r="B86" s="14" t="s">
        <v>417</v>
      </c>
      <c r="C86" s="1" t="s">
        <v>411</v>
      </c>
      <c r="D86" s="1" t="s">
        <v>235</v>
      </c>
      <c r="E86" s="71" t="s">
        <v>676</v>
      </c>
      <c r="H86" s="25">
        <v>312</v>
      </c>
    </row>
    <row r="87" spans="1:8" x14ac:dyDescent="0.25">
      <c r="A87" s="59">
        <v>84</v>
      </c>
      <c r="B87" s="14" t="s">
        <v>417</v>
      </c>
      <c r="C87" s="1" t="s">
        <v>412</v>
      </c>
      <c r="D87" s="1" t="s">
        <v>235</v>
      </c>
      <c r="E87" s="71" t="s">
        <v>677</v>
      </c>
      <c r="H87" s="26">
        <v>313</v>
      </c>
    </row>
    <row r="88" spans="1:8" x14ac:dyDescent="0.25">
      <c r="A88" s="55">
        <v>85</v>
      </c>
      <c r="B88" s="14" t="s">
        <v>417</v>
      </c>
      <c r="C88" s="1" t="s">
        <v>413</v>
      </c>
      <c r="D88" s="1" t="s">
        <v>235</v>
      </c>
      <c r="E88" s="71" t="s">
        <v>678</v>
      </c>
      <c r="H88" s="25">
        <v>314</v>
      </c>
    </row>
    <row r="89" spans="1:8" x14ac:dyDescent="0.25">
      <c r="A89" s="59">
        <v>86</v>
      </c>
      <c r="B89" s="14" t="s">
        <v>417</v>
      </c>
      <c r="C89" s="1" t="s">
        <v>414</v>
      </c>
      <c r="D89" s="1" t="s">
        <v>235</v>
      </c>
      <c r="E89" s="71" t="s">
        <v>679</v>
      </c>
      <c r="H89" s="26">
        <v>315</v>
      </c>
    </row>
    <row r="90" spans="1:8" x14ac:dyDescent="0.25">
      <c r="A90" s="55">
        <v>87</v>
      </c>
      <c r="B90" s="14" t="s">
        <v>417</v>
      </c>
      <c r="C90" s="6" t="s">
        <v>415</v>
      </c>
      <c r="D90" s="1" t="s">
        <v>235</v>
      </c>
      <c r="E90" s="71" t="s">
        <v>659</v>
      </c>
      <c r="H90" s="25">
        <v>316</v>
      </c>
    </row>
    <row r="91" spans="1:8" x14ac:dyDescent="0.25">
      <c r="A91" s="59">
        <v>88</v>
      </c>
      <c r="B91" s="14" t="s">
        <v>418</v>
      </c>
      <c r="C91" s="1" t="s">
        <v>66</v>
      </c>
      <c r="D91" s="1" t="s">
        <v>235</v>
      </c>
      <c r="E91" s="71" t="s">
        <v>680</v>
      </c>
      <c r="H91" s="26">
        <v>317</v>
      </c>
    </row>
    <row r="92" spans="1:8" x14ac:dyDescent="0.25">
      <c r="A92" s="55">
        <v>89</v>
      </c>
      <c r="B92" s="77" t="s">
        <v>419</v>
      </c>
      <c r="C92" s="1" t="s">
        <v>67</v>
      </c>
      <c r="D92" s="1" t="s">
        <v>235</v>
      </c>
      <c r="E92" s="71" t="s">
        <v>681</v>
      </c>
      <c r="H92" s="25">
        <v>318</v>
      </c>
    </row>
    <row r="93" spans="1:8" x14ac:dyDescent="0.25">
      <c r="A93" s="59">
        <v>90</v>
      </c>
      <c r="B93" s="77" t="s">
        <v>420</v>
      </c>
      <c r="C93" s="1" t="s">
        <v>68</v>
      </c>
      <c r="D93" s="1" t="s">
        <v>235</v>
      </c>
      <c r="E93" s="71" t="s">
        <v>682</v>
      </c>
      <c r="H93" s="26">
        <v>319</v>
      </c>
    </row>
    <row r="94" spans="1:8" x14ac:dyDescent="0.25">
      <c r="A94" s="55">
        <v>91</v>
      </c>
      <c r="B94" s="77" t="s">
        <v>421</v>
      </c>
      <c r="C94" s="1" t="s">
        <v>66</v>
      </c>
      <c r="D94" s="1" t="s">
        <v>235</v>
      </c>
      <c r="E94" s="71" t="s">
        <v>683</v>
      </c>
      <c r="H94" s="25">
        <v>320</v>
      </c>
    </row>
    <row r="95" spans="1:8" x14ac:dyDescent="0.25">
      <c r="A95" s="59">
        <v>92</v>
      </c>
      <c r="B95" s="77" t="s">
        <v>422</v>
      </c>
      <c r="C95" s="1" t="s">
        <v>67</v>
      </c>
      <c r="D95" s="1" t="s">
        <v>235</v>
      </c>
      <c r="E95" s="71" t="s">
        <v>684</v>
      </c>
      <c r="H95" s="26">
        <v>321</v>
      </c>
    </row>
    <row r="96" spans="1:8" x14ac:dyDescent="0.25">
      <c r="A96" s="55">
        <v>93</v>
      </c>
      <c r="B96" s="77" t="s">
        <v>423</v>
      </c>
      <c r="C96" s="6" t="s">
        <v>68</v>
      </c>
      <c r="D96" s="6" t="s">
        <v>235</v>
      </c>
      <c r="E96" s="71" t="s">
        <v>685</v>
      </c>
      <c r="H96" s="25">
        <v>322</v>
      </c>
    </row>
    <row r="97" spans="1:16" x14ac:dyDescent="0.25">
      <c r="A97" s="59">
        <v>94</v>
      </c>
      <c r="B97" s="10" t="s">
        <v>436</v>
      </c>
      <c r="C97" s="1" t="s">
        <v>426</v>
      </c>
      <c r="D97" s="1" t="s">
        <v>143</v>
      </c>
      <c r="E97" s="1" t="s">
        <v>437</v>
      </c>
      <c r="H97" s="26">
        <v>323</v>
      </c>
      <c r="I97">
        <v>38</v>
      </c>
      <c r="J97">
        <v>42</v>
      </c>
      <c r="K97">
        <v>26</v>
      </c>
    </row>
    <row r="98" spans="1:16" x14ac:dyDescent="0.25">
      <c r="A98" s="55">
        <v>95</v>
      </c>
      <c r="B98" s="10" t="s">
        <v>436</v>
      </c>
      <c r="C98" s="1" t="s">
        <v>425</v>
      </c>
      <c r="D98" s="1" t="s">
        <v>143</v>
      </c>
      <c r="E98" s="1" t="s">
        <v>437</v>
      </c>
      <c r="H98" s="25">
        <v>324</v>
      </c>
    </row>
    <row r="99" spans="1:16" x14ac:dyDescent="0.25">
      <c r="A99" s="59">
        <v>96</v>
      </c>
      <c r="B99" s="10" t="s">
        <v>436</v>
      </c>
      <c r="C99" s="1" t="s">
        <v>438</v>
      </c>
      <c r="D99" s="1" t="s">
        <v>143</v>
      </c>
      <c r="E99" s="1" t="s">
        <v>439</v>
      </c>
      <c r="H99" s="26">
        <v>325</v>
      </c>
      <c r="I99">
        <v>39</v>
      </c>
      <c r="J99">
        <v>43</v>
      </c>
      <c r="K99">
        <v>21</v>
      </c>
      <c r="L99">
        <v>28</v>
      </c>
      <c r="M99">
        <v>32</v>
      </c>
      <c r="N99">
        <v>35</v>
      </c>
      <c r="O99">
        <v>24</v>
      </c>
      <c r="P99">
        <v>17</v>
      </c>
    </row>
    <row r="100" spans="1:16" x14ac:dyDescent="0.25">
      <c r="A100" s="55">
        <v>97</v>
      </c>
      <c r="B100" s="10" t="s">
        <v>436</v>
      </c>
      <c r="C100" s="1" t="s">
        <v>427</v>
      </c>
      <c r="D100" s="1" t="s">
        <v>143</v>
      </c>
      <c r="E100" s="1" t="s">
        <v>440</v>
      </c>
      <c r="H100" s="25">
        <v>326</v>
      </c>
      <c r="I100">
        <v>-16</v>
      </c>
      <c r="J100">
        <v>-39</v>
      </c>
      <c r="K100">
        <v>-27</v>
      </c>
      <c r="L100">
        <v>-31</v>
      </c>
      <c r="M100">
        <v>-47</v>
      </c>
      <c r="N100">
        <v>-23</v>
      </c>
    </row>
    <row r="101" spans="1:16" x14ac:dyDescent="0.25">
      <c r="A101" s="59">
        <v>98</v>
      </c>
      <c r="B101" s="10" t="s">
        <v>436</v>
      </c>
      <c r="C101" s="1" t="s">
        <v>428</v>
      </c>
      <c r="D101" s="1" t="s">
        <v>143</v>
      </c>
      <c r="E101" s="1" t="s">
        <v>441</v>
      </c>
      <c r="H101" s="26">
        <v>327</v>
      </c>
    </row>
    <row r="102" spans="1:16" x14ac:dyDescent="0.25">
      <c r="A102" s="55">
        <v>99</v>
      </c>
      <c r="B102" s="10" t="s">
        <v>436</v>
      </c>
      <c r="C102" s="1" t="s">
        <v>429</v>
      </c>
      <c r="D102" s="1" t="s">
        <v>143</v>
      </c>
      <c r="E102" s="1" t="s">
        <v>441</v>
      </c>
      <c r="H102" s="25">
        <v>328</v>
      </c>
    </row>
    <row r="103" spans="1:16" x14ac:dyDescent="0.25">
      <c r="A103" s="55">
        <v>101</v>
      </c>
      <c r="B103" s="10" t="s">
        <v>436</v>
      </c>
      <c r="C103" s="1" t="s">
        <v>430</v>
      </c>
      <c r="D103" s="1" t="s">
        <v>143</v>
      </c>
      <c r="E103" s="1" t="s">
        <v>442</v>
      </c>
      <c r="H103" s="26">
        <v>329</v>
      </c>
    </row>
    <row r="104" spans="1:16" x14ac:dyDescent="0.25">
      <c r="A104" s="59">
        <v>102</v>
      </c>
      <c r="B104" s="10" t="s">
        <v>436</v>
      </c>
      <c r="C104" s="1" t="s">
        <v>431</v>
      </c>
      <c r="D104" s="1" t="s">
        <v>143</v>
      </c>
      <c r="E104" s="1" t="s">
        <v>433</v>
      </c>
      <c r="H104" s="25">
        <v>330</v>
      </c>
    </row>
    <row r="105" spans="1:16" x14ac:dyDescent="0.25">
      <c r="A105" s="55">
        <v>103</v>
      </c>
      <c r="B105" s="10" t="s">
        <v>436</v>
      </c>
      <c r="C105" s="1" t="s">
        <v>432</v>
      </c>
      <c r="D105" s="1" t="s">
        <v>143</v>
      </c>
      <c r="E105" s="1" t="s">
        <v>444</v>
      </c>
      <c r="H105" s="26">
        <v>331</v>
      </c>
    </row>
    <row r="106" spans="1:16" x14ac:dyDescent="0.25">
      <c r="A106" s="59">
        <v>104</v>
      </c>
      <c r="B106" s="10" t="s">
        <v>436</v>
      </c>
      <c r="C106" s="1" t="s">
        <v>434</v>
      </c>
      <c r="D106" s="1" t="s">
        <v>143</v>
      </c>
      <c r="E106" s="1" t="s">
        <v>445</v>
      </c>
      <c r="H106" s="25">
        <v>332</v>
      </c>
    </row>
    <row r="107" spans="1:16" x14ac:dyDescent="0.25">
      <c r="A107" s="55">
        <v>105</v>
      </c>
      <c r="B107" s="10" t="s">
        <v>436</v>
      </c>
      <c r="C107" s="1" t="s">
        <v>435</v>
      </c>
      <c r="D107" s="1" t="s">
        <v>143</v>
      </c>
      <c r="E107" s="1" t="s">
        <v>443</v>
      </c>
      <c r="H107" s="26">
        <v>333</v>
      </c>
    </row>
    <row r="108" spans="1:16" x14ac:dyDescent="0.25">
      <c r="A108" s="59">
        <v>106</v>
      </c>
      <c r="B108" s="10" t="s">
        <v>447</v>
      </c>
      <c r="C108" s="1" t="s">
        <v>426</v>
      </c>
      <c r="D108" s="1" t="s">
        <v>143</v>
      </c>
      <c r="E108" s="1" t="s">
        <v>448</v>
      </c>
      <c r="H108" s="25">
        <v>334</v>
      </c>
    </row>
    <row r="109" spans="1:16" x14ac:dyDescent="0.25">
      <c r="A109" s="55">
        <v>107</v>
      </c>
      <c r="B109" s="10" t="s">
        <v>447</v>
      </c>
      <c r="C109" s="1" t="s">
        <v>425</v>
      </c>
      <c r="D109" s="1" t="s">
        <v>143</v>
      </c>
      <c r="E109" s="1" t="s">
        <v>448</v>
      </c>
      <c r="H109" s="26">
        <v>335</v>
      </c>
    </row>
    <row r="110" spans="1:16" x14ac:dyDescent="0.25">
      <c r="A110" s="59">
        <v>108</v>
      </c>
      <c r="B110" s="10" t="s">
        <v>447</v>
      </c>
      <c r="C110" s="1" t="s">
        <v>438</v>
      </c>
      <c r="D110" s="1" t="s">
        <v>143</v>
      </c>
      <c r="E110" s="1" t="s">
        <v>449</v>
      </c>
      <c r="H110" s="25">
        <v>336</v>
      </c>
    </row>
    <row r="111" spans="1:16" x14ac:dyDescent="0.25">
      <c r="A111" s="55">
        <v>109</v>
      </c>
      <c r="B111" s="10" t="s">
        <v>447</v>
      </c>
      <c r="C111" s="1" t="s">
        <v>427</v>
      </c>
      <c r="D111" s="1" t="s">
        <v>143</v>
      </c>
      <c r="E111" s="1" t="s">
        <v>450</v>
      </c>
      <c r="H111" s="26">
        <v>337</v>
      </c>
    </row>
    <row r="112" spans="1:16" x14ac:dyDescent="0.25">
      <c r="A112" s="59">
        <v>110</v>
      </c>
      <c r="B112" s="10" t="s">
        <v>447</v>
      </c>
      <c r="C112" s="1" t="s">
        <v>428</v>
      </c>
      <c r="D112" s="1" t="s">
        <v>143</v>
      </c>
      <c r="E112" s="1" t="s">
        <v>451</v>
      </c>
      <c r="H112" s="25">
        <v>338</v>
      </c>
    </row>
    <row r="113" spans="1:31" x14ac:dyDescent="0.25">
      <c r="A113" s="55">
        <v>111</v>
      </c>
      <c r="B113" s="10" t="s">
        <v>447</v>
      </c>
      <c r="C113" s="1" t="s">
        <v>429</v>
      </c>
      <c r="D113" s="1" t="s">
        <v>143</v>
      </c>
      <c r="E113" s="1" t="s">
        <v>451</v>
      </c>
      <c r="H113" s="26">
        <v>339</v>
      </c>
    </row>
    <row r="114" spans="1:31" x14ac:dyDescent="0.25">
      <c r="A114" s="55">
        <v>113</v>
      </c>
      <c r="B114" s="10" t="s">
        <v>447</v>
      </c>
      <c r="C114" s="1" t="s">
        <v>430</v>
      </c>
      <c r="D114" s="1" t="s">
        <v>143</v>
      </c>
      <c r="E114" s="1" t="s">
        <v>452</v>
      </c>
      <c r="H114" s="25">
        <v>340</v>
      </c>
    </row>
    <row r="115" spans="1:31" x14ac:dyDescent="0.25">
      <c r="A115" s="59">
        <v>114</v>
      </c>
      <c r="B115" s="10" t="s">
        <v>447</v>
      </c>
      <c r="C115" s="1" t="s">
        <v>431</v>
      </c>
      <c r="D115" s="1" t="s">
        <v>143</v>
      </c>
      <c r="E115" s="1" t="s">
        <v>453</v>
      </c>
      <c r="H115" s="26">
        <v>341</v>
      </c>
    </row>
    <row r="116" spans="1:31" x14ac:dyDescent="0.25">
      <c r="A116" s="55">
        <v>115</v>
      </c>
      <c r="B116" s="10" t="s">
        <v>447</v>
      </c>
      <c r="C116" s="1" t="s">
        <v>432</v>
      </c>
      <c r="D116" s="1" t="s">
        <v>143</v>
      </c>
      <c r="E116" s="1" t="s">
        <v>454</v>
      </c>
      <c r="H116" s="25">
        <v>342</v>
      </c>
      <c r="J116">
        <v>171</v>
      </c>
      <c r="K116">
        <v>172</v>
      </c>
      <c r="L116">
        <v>173</v>
      </c>
      <c r="M116">
        <v>174</v>
      </c>
      <c r="N116">
        <v>175</v>
      </c>
      <c r="O116">
        <v>176</v>
      </c>
      <c r="P116">
        <v>178</v>
      </c>
      <c r="Q116">
        <v>179</v>
      </c>
      <c r="R116">
        <v>180</v>
      </c>
      <c r="S116">
        <v>181</v>
      </c>
      <c r="T116">
        <v>182</v>
      </c>
      <c r="U116">
        <v>183</v>
      </c>
      <c r="V116">
        <v>184</v>
      </c>
      <c r="W116">
        <v>185</v>
      </c>
      <c r="X116">
        <v>186</v>
      </c>
      <c r="Y116">
        <v>187</v>
      </c>
      <c r="Z116">
        <v>188</v>
      </c>
      <c r="AA116">
        <v>190</v>
      </c>
      <c r="AB116">
        <v>191</v>
      </c>
      <c r="AC116">
        <v>192</v>
      </c>
      <c r="AD116">
        <v>193</v>
      </c>
      <c r="AE116">
        <v>194</v>
      </c>
    </row>
    <row r="117" spans="1:31" x14ac:dyDescent="0.25">
      <c r="A117" s="59">
        <v>116</v>
      </c>
      <c r="B117" s="10" t="s">
        <v>447</v>
      </c>
      <c r="C117" s="1" t="s">
        <v>434</v>
      </c>
      <c r="D117" s="1" t="s">
        <v>143</v>
      </c>
      <c r="E117" s="1" t="s">
        <v>455</v>
      </c>
      <c r="H117" s="26">
        <v>343</v>
      </c>
      <c r="J117">
        <v>171</v>
      </c>
    </row>
    <row r="118" spans="1:31" x14ac:dyDescent="0.25">
      <c r="A118" s="55">
        <v>117</v>
      </c>
      <c r="B118" s="10" t="s">
        <v>447</v>
      </c>
      <c r="C118" s="1" t="s">
        <v>435</v>
      </c>
      <c r="D118" s="1" t="s">
        <v>143</v>
      </c>
      <c r="E118" s="1" t="s">
        <v>456</v>
      </c>
      <c r="H118" s="25">
        <v>344</v>
      </c>
      <c r="J118">
        <v>172</v>
      </c>
    </row>
    <row r="119" spans="1:31" x14ac:dyDescent="0.25">
      <c r="A119" s="59">
        <v>118</v>
      </c>
      <c r="B119" s="86" t="s">
        <v>436</v>
      </c>
      <c r="C119" s="87" t="s">
        <v>426</v>
      </c>
      <c r="D119" s="6" t="s">
        <v>235</v>
      </c>
      <c r="E119" s="71" t="s">
        <v>686</v>
      </c>
      <c r="H119" s="26">
        <v>345</v>
      </c>
      <c r="J119">
        <v>173</v>
      </c>
    </row>
    <row r="120" spans="1:31" x14ac:dyDescent="0.25">
      <c r="A120" s="55">
        <v>119</v>
      </c>
      <c r="B120" s="86" t="s">
        <v>436</v>
      </c>
      <c r="C120" s="87" t="s">
        <v>425</v>
      </c>
      <c r="D120" s="6" t="s">
        <v>235</v>
      </c>
      <c r="E120" s="71" t="s">
        <v>687</v>
      </c>
      <c r="H120" s="25">
        <v>346</v>
      </c>
      <c r="J120">
        <v>174</v>
      </c>
    </row>
    <row r="121" spans="1:31" x14ac:dyDescent="0.25">
      <c r="A121" s="59">
        <v>120</v>
      </c>
      <c r="B121" s="86" t="s">
        <v>436</v>
      </c>
      <c r="C121" s="87" t="s">
        <v>438</v>
      </c>
      <c r="D121" s="6" t="s">
        <v>235</v>
      </c>
      <c r="E121" s="71" t="s">
        <v>688</v>
      </c>
      <c r="H121" s="26">
        <v>347</v>
      </c>
      <c r="J121">
        <v>175</v>
      </c>
    </row>
    <row r="122" spans="1:31" x14ac:dyDescent="0.25">
      <c r="A122" s="55">
        <v>121</v>
      </c>
      <c r="B122" s="86" t="s">
        <v>436</v>
      </c>
      <c r="C122" s="87" t="s">
        <v>427</v>
      </c>
      <c r="D122" s="6" t="s">
        <v>235</v>
      </c>
      <c r="E122" s="71" t="s">
        <v>689</v>
      </c>
      <c r="H122" s="25">
        <v>348</v>
      </c>
      <c r="J122">
        <v>176</v>
      </c>
    </row>
    <row r="123" spans="1:31" x14ac:dyDescent="0.25">
      <c r="A123" s="59">
        <v>122</v>
      </c>
      <c r="B123" s="86" t="s">
        <v>436</v>
      </c>
      <c r="C123" s="87" t="s">
        <v>428</v>
      </c>
      <c r="D123" s="6" t="s">
        <v>235</v>
      </c>
      <c r="E123" s="71" t="s">
        <v>690</v>
      </c>
      <c r="H123" s="26">
        <v>349</v>
      </c>
      <c r="J123">
        <v>178</v>
      </c>
    </row>
    <row r="124" spans="1:31" x14ac:dyDescent="0.25">
      <c r="A124" s="55">
        <v>123</v>
      </c>
      <c r="B124" s="86" t="s">
        <v>436</v>
      </c>
      <c r="C124" s="87" t="s">
        <v>429</v>
      </c>
      <c r="D124" s="6" t="s">
        <v>235</v>
      </c>
      <c r="E124" s="71" t="s">
        <v>691</v>
      </c>
      <c r="H124" s="25">
        <v>350</v>
      </c>
      <c r="J124">
        <v>179</v>
      </c>
    </row>
    <row r="125" spans="1:31" x14ac:dyDescent="0.25">
      <c r="A125" s="55">
        <v>125</v>
      </c>
      <c r="B125" s="86" t="s">
        <v>436</v>
      </c>
      <c r="C125" s="87" t="s">
        <v>430</v>
      </c>
      <c r="D125" s="6" t="s">
        <v>235</v>
      </c>
      <c r="E125" s="71" t="s">
        <v>692</v>
      </c>
      <c r="H125" s="26">
        <v>351</v>
      </c>
      <c r="J125">
        <v>180</v>
      </c>
    </row>
    <row r="126" spans="1:31" x14ac:dyDescent="0.25">
      <c r="A126" s="59">
        <v>126</v>
      </c>
      <c r="B126" s="86" t="s">
        <v>436</v>
      </c>
      <c r="C126" s="87" t="s">
        <v>431</v>
      </c>
      <c r="D126" s="6" t="s">
        <v>235</v>
      </c>
      <c r="E126" s="71" t="s">
        <v>693</v>
      </c>
      <c r="H126" s="25">
        <v>352</v>
      </c>
      <c r="J126">
        <v>181</v>
      </c>
    </row>
    <row r="127" spans="1:31" x14ac:dyDescent="0.25">
      <c r="A127" s="55">
        <v>127</v>
      </c>
      <c r="B127" s="86" t="s">
        <v>436</v>
      </c>
      <c r="C127" s="87" t="s">
        <v>432</v>
      </c>
      <c r="D127" s="6" t="s">
        <v>235</v>
      </c>
      <c r="E127" s="71" t="s">
        <v>694</v>
      </c>
      <c r="H127" s="26">
        <v>353</v>
      </c>
      <c r="J127">
        <v>182</v>
      </c>
    </row>
    <row r="128" spans="1:31" x14ac:dyDescent="0.25">
      <c r="A128" s="59">
        <v>128</v>
      </c>
      <c r="B128" s="86" t="s">
        <v>436</v>
      </c>
      <c r="C128" s="87" t="s">
        <v>434</v>
      </c>
      <c r="D128" s="6" t="s">
        <v>235</v>
      </c>
      <c r="E128" s="71" t="s">
        <v>695</v>
      </c>
      <c r="H128" s="25">
        <v>354</v>
      </c>
      <c r="J128">
        <v>183</v>
      </c>
    </row>
    <row r="129" spans="1:10" x14ac:dyDescent="0.25">
      <c r="A129" s="55">
        <v>129</v>
      </c>
      <c r="B129" s="86" t="s">
        <v>436</v>
      </c>
      <c r="C129" s="87" t="s">
        <v>435</v>
      </c>
      <c r="D129" s="6" t="s">
        <v>235</v>
      </c>
      <c r="E129" s="71" t="s">
        <v>696</v>
      </c>
      <c r="H129" s="26">
        <v>355</v>
      </c>
      <c r="J129">
        <v>184</v>
      </c>
    </row>
    <row r="130" spans="1:10" x14ac:dyDescent="0.25">
      <c r="A130" s="59">
        <v>130</v>
      </c>
      <c r="B130" s="86" t="s">
        <v>447</v>
      </c>
      <c r="C130" s="87" t="s">
        <v>426</v>
      </c>
      <c r="D130" s="6" t="s">
        <v>235</v>
      </c>
      <c r="E130" s="71" t="s">
        <v>697</v>
      </c>
      <c r="H130" s="25">
        <v>356</v>
      </c>
      <c r="J130">
        <v>185</v>
      </c>
    </row>
    <row r="131" spans="1:10" x14ac:dyDescent="0.25">
      <c r="A131" s="55">
        <v>131</v>
      </c>
      <c r="B131" s="86" t="s">
        <v>447</v>
      </c>
      <c r="C131" s="87" t="s">
        <v>425</v>
      </c>
      <c r="D131" s="6" t="s">
        <v>235</v>
      </c>
      <c r="E131" s="71" t="s">
        <v>698</v>
      </c>
      <c r="H131" s="26">
        <v>357</v>
      </c>
      <c r="J131">
        <v>186</v>
      </c>
    </row>
    <row r="132" spans="1:10" x14ac:dyDescent="0.25">
      <c r="A132" s="59">
        <v>132</v>
      </c>
      <c r="B132" s="86" t="s">
        <v>447</v>
      </c>
      <c r="C132" s="87" t="s">
        <v>438</v>
      </c>
      <c r="D132" s="6" t="s">
        <v>235</v>
      </c>
      <c r="E132" s="71" t="s">
        <v>699</v>
      </c>
      <c r="H132" s="25">
        <v>358</v>
      </c>
      <c r="J132">
        <v>187</v>
      </c>
    </row>
    <row r="133" spans="1:10" x14ac:dyDescent="0.25">
      <c r="A133" s="55">
        <v>133</v>
      </c>
      <c r="B133" s="86" t="s">
        <v>447</v>
      </c>
      <c r="C133" s="87" t="s">
        <v>427</v>
      </c>
      <c r="D133" s="6" t="s">
        <v>235</v>
      </c>
      <c r="E133" s="71" t="s">
        <v>700</v>
      </c>
      <c r="H133" s="26">
        <v>359</v>
      </c>
      <c r="J133">
        <v>188</v>
      </c>
    </row>
    <row r="134" spans="1:10" x14ac:dyDescent="0.25">
      <c r="A134" s="59">
        <v>134</v>
      </c>
      <c r="B134" s="86" t="s">
        <v>447</v>
      </c>
      <c r="C134" s="87" t="s">
        <v>428</v>
      </c>
      <c r="D134" s="6" t="s">
        <v>235</v>
      </c>
      <c r="E134" s="71" t="s">
        <v>701</v>
      </c>
      <c r="H134" s="25">
        <v>360</v>
      </c>
      <c r="J134">
        <v>190</v>
      </c>
    </row>
    <row r="135" spans="1:10" x14ac:dyDescent="0.25">
      <c r="A135" s="55">
        <v>135</v>
      </c>
      <c r="B135" s="86" t="s">
        <v>447</v>
      </c>
      <c r="C135" s="87" t="s">
        <v>429</v>
      </c>
      <c r="D135" s="6" t="s">
        <v>235</v>
      </c>
      <c r="E135" s="71" t="s">
        <v>702</v>
      </c>
      <c r="H135" s="26">
        <v>361</v>
      </c>
      <c r="J135">
        <v>191</v>
      </c>
    </row>
    <row r="136" spans="1:10" x14ac:dyDescent="0.25">
      <c r="A136" s="55">
        <v>137</v>
      </c>
      <c r="B136" s="86" t="s">
        <v>447</v>
      </c>
      <c r="C136" s="87" t="s">
        <v>430</v>
      </c>
      <c r="D136" s="6" t="s">
        <v>235</v>
      </c>
      <c r="E136" s="71" t="s">
        <v>703</v>
      </c>
      <c r="H136" s="25">
        <v>362</v>
      </c>
      <c r="J136">
        <v>192</v>
      </c>
    </row>
    <row r="137" spans="1:10" x14ac:dyDescent="0.25">
      <c r="A137" s="59">
        <v>138</v>
      </c>
      <c r="B137" s="86" t="s">
        <v>447</v>
      </c>
      <c r="C137" s="87" t="s">
        <v>431</v>
      </c>
      <c r="D137" s="6" t="s">
        <v>235</v>
      </c>
      <c r="E137" s="71" t="s">
        <v>704</v>
      </c>
      <c r="H137" s="26">
        <v>363</v>
      </c>
      <c r="J137">
        <v>193</v>
      </c>
    </row>
    <row r="138" spans="1:10" x14ac:dyDescent="0.25">
      <c r="A138" s="55">
        <v>139</v>
      </c>
      <c r="B138" s="86" t="s">
        <v>447</v>
      </c>
      <c r="C138" s="87" t="s">
        <v>432</v>
      </c>
      <c r="D138" s="6" t="s">
        <v>235</v>
      </c>
      <c r="E138" s="71" t="s">
        <v>705</v>
      </c>
      <c r="H138" s="25">
        <v>364</v>
      </c>
      <c r="J138">
        <v>194</v>
      </c>
    </row>
    <row r="139" spans="1:10" x14ac:dyDescent="0.25">
      <c r="A139" s="59">
        <v>140</v>
      </c>
      <c r="B139" s="86" t="s">
        <v>447</v>
      </c>
      <c r="C139" s="87" t="s">
        <v>434</v>
      </c>
      <c r="D139" s="6" t="s">
        <v>235</v>
      </c>
      <c r="E139" s="71" t="s">
        <v>706</v>
      </c>
      <c r="H139" s="26">
        <v>365</v>
      </c>
    </row>
    <row r="140" spans="1:10" x14ac:dyDescent="0.25">
      <c r="A140" s="55">
        <v>141</v>
      </c>
      <c r="B140" s="88" t="s">
        <v>447</v>
      </c>
      <c r="C140" s="89" t="s">
        <v>435</v>
      </c>
      <c r="D140" s="6" t="s">
        <v>235</v>
      </c>
      <c r="E140" s="71" t="s">
        <v>707</v>
      </c>
      <c r="H140" s="25">
        <v>366</v>
      </c>
    </row>
    <row r="141" spans="1:10" x14ac:dyDescent="0.25">
      <c r="A141" s="81">
        <v>142</v>
      </c>
      <c r="B141" s="10" t="s">
        <v>457</v>
      </c>
      <c r="C141" s="1" t="s">
        <v>131</v>
      </c>
      <c r="D141" s="1" t="s">
        <v>459</v>
      </c>
      <c r="E141" s="91" t="s">
        <v>460</v>
      </c>
      <c r="H141" s="26">
        <v>367</v>
      </c>
    </row>
    <row r="142" spans="1:10" x14ac:dyDescent="0.25">
      <c r="A142" s="82">
        <v>143</v>
      </c>
      <c r="B142" s="10" t="s">
        <v>458</v>
      </c>
      <c r="C142" s="1" t="s">
        <v>131</v>
      </c>
      <c r="D142" s="1" t="s">
        <v>459</v>
      </c>
      <c r="E142" s="91" t="s">
        <v>461</v>
      </c>
      <c r="H142" s="25">
        <v>368</v>
      </c>
    </row>
    <row r="143" spans="1:10" x14ac:dyDescent="0.25">
      <c r="A143" s="82">
        <v>144</v>
      </c>
      <c r="B143" s="129" t="s">
        <v>532</v>
      </c>
      <c r="C143" s="129" t="s">
        <v>534</v>
      </c>
      <c r="D143" s="1" t="s">
        <v>531</v>
      </c>
      <c r="E143" s="91" t="s">
        <v>535</v>
      </c>
      <c r="H143" s="26">
        <v>369</v>
      </c>
    </row>
    <row r="144" spans="1:10" x14ac:dyDescent="0.25">
      <c r="A144" s="82">
        <v>145</v>
      </c>
      <c r="B144" s="129" t="s">
        <v>533</v>
      </c>
      <c r="C144" s="129" t="s">
        <v>534</v>
      </c>
      <c r="D144" s="1" t="s">
        <v>531</v>
      </c>
      <c r="E144" s="91" t="s">
        <v>536</v>
      </c>
      <c r="H144" s="25"/>
    </row>
    <row r="145" spans="1:8" x14ac:dyDescent="0.25">
      <c r="A145" s="82">
        <v>146</v>
      </c>
      <c r="B145" s="129" t="s">
        <v>489</v>
      </c>
      <c r="C145" s="129" t="s">
        <v>534</v>
      </c>
      <c r="D145" s="1" t="s">
        <v>531</v>
      </c>
      <c r="E145" s="91" t="s">
        <v>537</v>
      </c>
      <c r="H145" s="26"/>
    </row>
    <row r="146" spans="1:8" x14ac:dyDescent="0.25">
      <c r="A146" s="82">
        <v>147</v>
      </c>
      <c r="B146" s="129" t="s">
        <v>492</v>
      </c>
      <c r="C146" s="129" t="s">
        <v>534</v>
      </c>
      <c r="D146" s="1" t="s">
        <v>531</v>
      </c>
      <c r="E146" s="91" t="s">
        <v>538</v>
      </c>
      <c r="H146" s="25"/>
    </row>
    <row r="147" spans="1:8" x14ac:dyDescent="0.25">
      <c r="A147" s="82">
        <v>148</v>
      </c>
      <c r="B147" s="129" t="s">
        <v>493</v>
      </c>
      <c r="C147" s="129" t="s">
        <v>534</v>
      </c>
      <c r="D147" s="1" t="s">
        <v>531</v>
      </c>
      <c r="E147" s="91" t="s">
        <v>539</v>
      </c>
      <c r="H147" s="26"/>
    </row>
    <row r="148" spans="1:8" x14ac:dyDescent="0.25">
      <c r="A148" s="82">
        <v>149</v>
      </c>
      <c r="B148" s="129" t="s">
        <v>494</v>
      </c>
      <c r="C148" s="129" t="s">
        <v>534</v>
      </c>
      <c r="D148" s="1" t="s">
        <v>531</v>
      </c>
      <c r="E148" s="91" t="s">
        <v>540</v>
      </c>
      <c r="H148" s="25"/>
    </row>
    <row r="149" spans="1:8" x14ac:dyDescent="0.25">
      <c r="A149" s="82">
        <v>150</v>
      </c>
      <c r="B149" s="129" t="s">
        <v>495</v>
      </c>
      <c r="C149" s="129" t="s">
        <v>534</v>
      </c>
      <c r="D149" s="1" t="s">
        <v>531</v>
      </c>
      <c r="E149" s="91" t="s">
        <v>541</v>
      </c>
      <c r="H149" s="26"/>
    </row>
    <row r="150" spans="1:8" x14ac:dyDescent="0.25">
      <c r="A150" s="82">
        <v>151</v>
      </c>
      <c r="B150" s="129" t="s">
        <v>496</v>
      </c>
      <c r="C150" s="129" t="s">
        <v>534</v>
      </c>
      <c r="D150" s="1" t="s">
        <v>531</v>
      </c>
      <c r="E150" s="91" t="s">
        <v>542</v>
      </c>
      <c r="H150" s="25"/>
    </row>
    <row r="151" spans="1:8" x14ac:dyDescent="0.25">
      <c r="A151" s="82">
        <v>152</v>
      </c>
      <c r="B151" s="129" t="s">
        <v>497</v>
      </c>
      <c r="C151" s="129" t="s">
        <v>534</v>
      </c>
      <c r="D151" s="1" t="s">
        <v>531</v>
      </c>
      <c r="E151" s="91" t="s">
        <v>543</v>
      </c>
      <c r="H151" s="26"/>
    </row>
    <row r="152" spans="1:8" x14ac:dyDescent="0.25">
      <c r="A152" s="82">
        <v>153</v>
      </c>
      <c r="B152" s="129" t="s">
        <v>498</v>
      </c>
      <c r="C152" s="129" t="s">
        <v>534</v>
      </c>
      <c r="D152" s="1" t="s">
        <v>531</v>
      </c>
      <c r="E152" s="91" t="s">
        <v>544</v>
      </c>
      <c r="H152" s="25"/>
    </row>
    <row r="153" spans="1:8" x14ac:dyDescent="0.25">
      <c r="A153" s="82">
        <v>154</v>
      </c>
      <c r="B153" s="129" t="s">
        <v>499</v>
      </c>
      <c r="C153" s="129" t="s">
        <v>534</v>
      </c>
      <c r="D153" s="1" t="s">
        <v>531</v>
      </c>
      <c r="E153" s="91" t="s">
        <v>545</v>
      </c>
      <c r="H153" s="26"/>
    </row>
    <row r="154" spans="1:8" x14ac:dyDescent="0.25">
      <c r="A154" s="82">
        <v>155</v>
      </c>
      <c r="B154" s="129" t="s">
        <v>500</v>
      </c>
      <c r="C154" s="129" t="s">
        <v>534</v>
      </c>
      <c r="D154" s="1" t="s">
        <v>531</v>
      </c>
      <c r="E154" s="91" t="s">
        <v>546</v>
      </c>
      <c r="H154" s="25"/>
    </row>
    <row r="155" spans="1:8" x14ac:dyDescent="0.25">
      <c r="A155" s="82">
        <v>156</v>
      </c>
      <c r="B155" s="129" t="s">
        <v>501</v>
      </c>
      <c r="C155" s="129" t="s">
        <v>534</v>
      </c>
      <c r="D155" s="1" t="s">
        <v>531</v>
      </c>
      <c r="E155" s="91" t="s">
        <v>547</v>
      </c>
      <c r="H155" s="26"/>
    </row>
    <row r="156" spans="1:8" x14ac:dyDescent="0.25">
      <c r="A156" s="82">
        <v>157</v>
      </c>
      <c r="B156" s="129" t="s">
        <v>502</v>
      </c>
      <c r="C156" s="129" t="s">
        <v>534</v>
      </c>
      <c r="D156" s="1" t="s">
        <v>531</v>
      </c>
      <c r="E156" s="91" t="s">
        <v>548</v>
      </c>
      <c r="H156" s="25"/>
    </row>
    <row r="157" spans="1:8" x14ac:dyDescent="0.25">
      <c r="A157" s="82">
        <v>158</v>
      </c>
      <c r="B157" s="129" t="s">
        <v>715</v>
      </c>
      <c r="C157" s="129" t="s">
        <v>534</v>
      </c>
      <c r="D157" s="1" t="s">
        <v>531</v>
      </c>
      <c r="E157" s="91" t="s">
        <v>549</v>
      </c>
      <c r="H157" s="26"/>
    </row>
    <row r="158" spans="1:8" x14ac:dyDescent="0.25">
      <c r="A158" s="82">
        <v>159</v>
      </c>
      <c r="B158" s="129" t="s">
        <v>716</v>
      </c>
      <c r="C158" s="129" t="s">
        <v>534</v>
      </c>
      <c r="D158" s="1" t="s">
        <v>531</v>
      </c>
      <c r="E158" s="91" t="s">
        <v>550</v>
      </c>
      <c r="H158" s="25"/>
    </row>
    <row r="159" spans="1:8" x14ac:dyDescent="0.25">
      <c r="A159" s="82">
        <v>160</v>
      </c>
      <c r="B159" s="129" t="s">
        <v>717</v>
      </c>
      <c r="C159" s="129" t="s">
        <v>534</v>
      </c>
      <c r="D159" s="1" t="s">
        <v>531</v>
      </c>
      <c r="E159" s="91" t="s">
        <v>551</v>
      </c>
      <c r="H159" s="26"/>
    </row>
    <row r="160" spans="1:8" x14ac:dyDescent="0.25">
      <c r="A160" s="82">
        <v>161</v>
      </c>
      <c r="B160" s="129" t="s">
        <v>718</v>
      </c>
      <c r="C160" s="129" t="s">
        <v>534</v>
      </c>
      <c r="D160" s="1" t="s">
        <v>531</v>
      </c>
      <c r="E160" s="91" t="s">
        <v>552</v>
      </c>
      <c r="H160" s="25"/>
    </row>
    <row r="161" spans="1:8" x14ac:dyDescent="0.25">
      <c r="A161" s="82">
        <v>162</v>
      </c>
      <c r="B161" s="129" t="s">
        <v>590</v>
      </c>
      <c r="C161" s="129" t="s">
        <v>589</v>
      </c>
      <c r="D161" s="1" t="s">
        <v>588</v>
      </c>
      <c r="E161" s="91" t="s">
        <v>587</v>
      </c>
      <c r="H161" s="26"/>
    </row>
    <row r="162" spans="1:8" x14ac:dyDescent="0.25">
      <c r="A162" s="82">
        <v>163</v>
      </c>
      <c r="B162" s="129" t="s">
        <v>719</v>
      </c>
      <c r="C162" s="129" t="s">
        <v>708</v>
      </c>
      <c r="D162" s="1" t="s">
        <v>709</v>
      </c>
      <c r="E162" s="91" t="s">
        <v>710</v>
      </c>
      <c r="H162" s="26"/>
    </row>
    <row r="163" spans="1:8" x14ac:dyDescent="0.25">
      <c r="A163" s="82">
        <v>164</v>
      </c>
      <c r="B163" s="129" t="s">
        <v>719</v>
      </c>
      <c r="C163" s="129" t="s">
        <v>711</v>
      </c>
      <c r="D163" s="1" t="s">
        <v>713</v>
      </c>
      <c r="E163" s="91" t="s">
        <v>710</v>
      </c>
      <c r="H163" s="131"/>
    </row>
    <row r="164" spans="1:8" x14ac:dyDescent="0.25">
      <c r="A164" s="82">
        <v>165</v>
      </c>
      <c r="B164" s="129" t="s">
        <v>719</v>
      </c>
      <c r="C164" s="129" t="s">
        <v>712</v>
      </c>
      <c r="D164" s="1" t="s">
        <v>714</v>
      </c>
      <c r="E164" s="91" t="s">
        <v>710</v>
      </c>
    </row>
    <row r="165" spans="1:8" x14ac:dyDescent="0.25">
      <c r="A165" s="82">
        <v>166</v>
      </c>
      <c r="B165" s="129" t="s">
        <v>720</v>
      </c>
      <c r="C165" s="129" t="s">
        <v>708</v>
      </c>
      <c r="D165" s="1" t="s">
        <v>709</v>
      </c>
      <c r="E165" s="91" t="s">
        <v>721</v>
      </c>
      <c r="H165" s="26"/>
    </row>
    <row r="166" spans="1:8" x14ac:dyDescent="0.25">
      <c r="A166" s="82">
        <v>167</v>
      </c>
      <c r="B166" s="129" t="s">
        <v>720</v>
      </c>
      <c r="C166" s="129" t="s">
        <v>711</v>
      </c>
      <c r="D166" s="1" t="s">
        <v>713</v>
      </c>
      <c r="E166" s="91" t="s">
        <v>721</v>
      </c>
      <c r="H166" s="131"/>
    </row>
    <row r="167" spans="1:8" x14ac:dyDescent="0.25">
      <c r="A167" s="82">
        <v>168</v>
      </c>
      <c r="B167" s="129" t="s">
        <v>720</v>
      </c>
      <c r="C167" s="129" t="s">
        <v>712</v>
      </c>
      <c r="D167" s="1" t="s">
        <v>714</v>
      </c>
      <c r="E167" s="91" t="s">
        <v>721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Кнопка1_Щелчок">
                <anchor moveWithCells="1" sizeWithCells="1">
                  <from>
                    <xdr:col>0</xdr:col>
                    <xdr:colOff>104775</xdr:colOff>
                    <xdr:row>0</xdr:row>
                    <xdr:rowOff>47625</xdr:rowOff>
                  </from>
                  <to>
                    <xdr:col>1</xdr:col>
                    <xdr:colOff>5172075</xdr:colOff>
                    <xdr:row>0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Range_separate_copyto_clipboard">
                <anchor moveWithCells="1" sizeWithCells="1">
                  <from>
                    <xdr:col>4</xdr:col>
                    <xdr:colOff>66675</xdr:colOff>
                    <xdr:row>0</xdr:row>
                    <xdr:rowOff>38100</xdr:rowOff>
                  </from>
                  <to>
                    <xdr:col>4</xdr:col>
                    <xdr:colOff>3638550</xdr:colOff>
                    <xdr:row>0</xdr:row>
                    <xdr:rowOff>371475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7"/>
  <dimension ref="A1:I19"/>
  <sheetViews>
    <sheetView workbookViewId="0">
      <selection activeCell="A7" sqref="A7"/>
    </sheetView>
  </sheetViews>
  <sheetFormatPr defaultRowHeight="15" x14ac:dyDescent="0.25"/>
  <cols>
    <col min="1" max="1" width="74" bestFit="1" customWidth="1"/>
    <col min="2" max="2" width="4.85546875" customWidth="1"/>
    <col min="3" max="3" width="5.140625" customWidth="1"/>
    <col min="4" max="4" width="5.7109375" customWidth="1"/>
    <col min="5" max="5" width="5.28515625" customWidth="1"/>
  </cols>
  <sheetData>
    <row r="1" spans="1:9" ht="40.5" customHeight="1" x14ac:dyDescent="0.25"/>
    <row r="3" spans="1:9" x14ac:dyDescent="0.25">
      <c r="A3" s="8" t="s">
        <v>8</v>
      </c>
      <c r="B3" s="9" t="s">
        <v>51</v>
      </c>
      <c r="C3" s="9" t="s">
        <v>50</v>
      </c>
      <c r="D3" s="9" t="s">
        <v>172</v>
      </c>
      <c r="E3" s="9" t="s">
        <v>173</v>
      </c>
      <c r="F3" s="9" t="s">
        <v>174</v>
      </c>
      <c r="G3" s="9" t="s">
        <v>175</v>
      </c>
      <c r="H3" s="9" t="s">
        <v>201</v>
      </c>
      <c r="I3" s="9" t="s">
        <v>202</v>
      </c>
    </row>
    <row r="4" spans="1:9" x14ac:dyDescent="0.25">
      <c r="A4" s="35" t="s">
        <v>519</v>
      </c>
      <c r="B4" s="10">
        <v>230</v>
      </c>
      <c r="C4" s="10">
        <v>231</v>
      </c>
      <c r="D4" s="10">
        <v>232</v>
      </c>
      <c r="E4" s="10">
        <v>233</v>
      </c>
      <c r="F4" s="10">
        <v>234</v>
      </c>
      <c r="G4" s="10">
        <v>235</v>
      </c>
      <c r="H4" s="10">
        <v>236</v>
      </c>
      <c r="I4" s="10">
        <v>237</v>
      </c>
    </row>
    <row r="5" spans="1:9" x14ac:dyDescent="0.25">
      <c r="A5" s="35" t="s">
        <v>520</v>
      </c>
      <c r="B5" s="16">
        <v>240</v>
      </c>
      <c r="C5" s="16">
        <v>241</v>
      </c>
      <c r="D5" s="16">
        <v>242</v>
      </c>
      <c r="E5" s="16">
        <v>243</v>
      </c>
      <c r="F5" s="16">
        <v>244</v>
      </c>
      <c r="G5" s="16">
        <v>245</v>
      </c>
      <c r="H5" s="16">
        <v>246</v>
      </c>
      <c r="I5" s="16">
        <v>247</v>
      </c>
    </row>
    <row r="6" spans="1:9" x14ac:dyDescent="0.25">
      <c r="A6" s="35" t="s">
        <v>521</v>
      </c>
      <c r="B6" s="10">
        <v>250</v>
      </c>
      <c r="C6" s="10">
        <v>251</v>
      </c>
      <c r="D6" s="10">
        <v>252</v>
      </c>
      <c r="E6" s="10">
        <v>253</v>
      </c>
      <c r="F6" s="10">
        <v>254</v>
      </c>
      <c r="G6" s="10">
        <v>255</v>
      </c>
      <c r="H6" s="10">
        <v>256</v>
      </c>
      <c r="I6" s="10">
        <v>257</v>
      </c>
    </row>
    <row r="7" spans="1:9" x14ac:dyDescent="0.25">
      <c r="A7" s="35" t="s">
        <v>522</v>
      </c>
      <c r="B7" s="16">
        <v>260</v>
      </c>
      <c r="C7" s="16">
        <v>261</v>
      </c>
      <c r="D7" s="16">
        <v>262</v>
      </c>
      <c r="E7" s="16">
        <v>263</v>
      </c>
      <c r="F7" s="16">
        <v>264</v>
      </c>
      <c r="G7" s="16">
        <v>265</v>
      </c>
      <c r="H7" s="16">
        <v>266</v>
      </c>
      <c r="I7" s="16">
        <v>267</v>
      </c>
    </row>
    <row r="8" spans="1:9" x14ac:dyDescent="0.25">
      <c r="A8" s="35" t="s">
        <v>523</v>
      </c>
      <c r="B8" s="10">
        <v>270</v>
      </c>
      <c r="C8" s="10">
        <v>271</v>
      </c>
      <c r="D8" s="10">
        <v>272</v>
      </c>
      <c r="E8" s="10">
        <v>273</v>
      </c>
      <c r="F8" s="10">
        <v>274</v>
      </c>
      <c r="G8" s="10">
        <v>275</v>
      </c>
      <c r="H8" s="10">
        <v>276</v>
      </c>
      <c r="I8" s="10">
        <v>277</v>
      </c>
    </row>
    <row r="9" spans="1:9" x14ac:dyDescent="0.25">
      <c r="A9" s="35" t="s">
        <v>524</v>
      </c>
      <c r="B9" s="16">
        <v>280</v>
      </c>
      <c r="C9" s="16">
        <v>281</v>
      </c>
      <c r="D9" s="16">
        <v>282</v>
      </c>
      <c r="E9" s="16">
        <v>283</v>
      </c>
      <c r="F9" s="16">
        <v>284</v>
      </c>
      <c r="G9" s="16">
        <v>285</v>
      </c>
      <c r="H9" s="16">
        <v>286</v>
      </c>
      <c r="I9" s="16">
        <v>287</v>
      </c>
    </row>
    <row r="10" spans="1:9" x14ac:dyDescent="0.25">
      <c r="A10" s="35" t="s">
        <v>525</v>
      </c>
      <c r="B10" s="10">
        <v>290</v>
      </c>
      <c r="C10" s="10">
        <v>291</v>
      </c>
      <c r="D10" s="10">
        <v>292</v>
      </c>
      <c r="E10" s="10">
        <v>293</v>
      </c>
      <c r="F10" s="10">
        <v>294</v>
      </c>
      <c r="G10" s="10">
        <v>295</v>
      </c>
      <c r="H10" s="10">
        <v>296</v>
      </c>
      <c r="I10" s="10">
        <v>297</v>
      </c>
    </row>
    <row r="11" spans="1:9" x14ac:dyDescent="0.25">
      <c r="A11" s="35" t="s">
        <v>526</v>
      </c>
      <c r="B11" s="16">
        <v>300</v>
      </c>
      <c r="C11" s="16">
        <v>301</v>
      </c>
      <c r="D11" s="16">
        <v>302</v>
      </c>
      <c r="E11" s="16">
        <v>303</v>
      </c>
      <c r="F11" s="16">
        <v>304</v>
      </c>
      <c r="G11" s="16">
        <v>305</v>
      </c>
      <c r="H11" s="16">
        <v>306</v>
      </c>
      <c r="I11" s="16">
        <v>307</v>
      </c>
    </row>
    <row r="12" spans="1:9" x14ac:dyDescent="0.25">
      <c r="A12" s="35" t="s">
        <v>528</v>
      </c>
      <c r="B12" s="10">
        <v>310</v>
      </c>
      <c r="C12" s="10">
        <v>311</v>
      </c>
      <c r="D12" s="10">
        <v>312</v>
      </c>
      <c r="E12" s="10">
        <v>313</v>
      </c>
      <c r="F12" s="10">
        <v>314</v>
      </c>
      <c r="G12" s="10">
        <v>315</v>
      </c>
      <c r="H12" s="10">
        <v>316</v>
      </c>
      <c r="I12" s="10">
        <v>317</v>
      </c>
    </row>
    <row r="13" spans="1:9" x14ac:dyDescent="0.25">
      <c r="A13" s="35" t="s">
        <v>527</v>
      </c>
      <c r="B13" s="16">
        <v>320</v>
      </c>
      <c r="C13" s="16">
        <v>321</v>
      </c>
      <c r="D13" s="16">
        <v>322</v>
      </c>
      <c r="E13" s="16">
        <v>323</v>
      </c>
      <c r="F13" s="16">
        <v>324</v>
      </c>
      <c r="G13" s="16">
        <v>325</v>
      </c>
      <c r="H13" s="16">
        <v>326</v>
      </c>
      <c r="I13" s="16">
        <v>327</v>
      </c>
    </row>
    <row r="14" spans="1:9" x14ac:dyDescent="0.25">
      <c r="A14" s="35" t="s">
        <v>529</v>
      </c>
      <c r="B14" s="10">
        <v>330</v>
      </c>
      <c r="C14" s="10">
        <v>331</v>
      </c>
      <c r="D14" s="10">
        <v>332</v>
      </c>
      <c r="E14" s="10">
        <v>333</v>
      </c>
      <c r="F14" s="10">
        <v>334</v>
      </c>
      <c r="G14" s="10">
        <v>335</v>
      </c>
      <c r="H14" s="10">
        <v>336</v>
      </c>
      <c r="I14" s="10">
        <v>337</v>
      </c>
    </row>
    <row r="15" spans="1:9" x14ac:dyDescent="0.25">
      <c r="A15" s="35" t="s">
        <v>530</v>
      </c>
      <c r="B15" s="16">
        <v>340</v>
      </c>
      <c r="C15" s="16">
        <v>341</v>
      </c>
      <c r="D15" s="16">
        <v>342</v>
      </c>
      <c r="E15" s="16">
        <v>343</v>
      </c>
      <c r="F15" s="16">
        <v>344</v>
      </c>
      <c r="G15" s="16">
        <v>345</v>
      </c>
      <c r="H15" s="16">
        <v>346</v>
      </c>
      <c r="I15" s="16">
        <v>347</v>
      </c>
    </row>
    <row r="16" spans="1:9" x14ac:dyDescent="0.25">
      <c r="A16" s="35" t="s">
        <v>515</v>
      </c>
      <c r="B16" s="10">
        <v>350</v>
      </c>
      <c r="C16" s="10">
        <v>351</v>
      </c>
      <c r="D16" s="10">
        <v>352</v>
      </c>
      <c r="E16" s="10">
        <v>353</v>
      </c>
      <c r="F16" s="10">
        <v>354</v>
      </c>
      <c r="G16" s="10">
        <v>355</v>
      </c>
      <c r="H16" s="10">
        <v>356</v>
      </c>
      <c r="I16" s="10">
        <v>357</v>
      </c>
    </row>
    <row r="17" spans="1:9" x14ac:dyDescent="0.25">
      <c r="A17" s="35" t="s">
        <v>516</v>
      </c>
      <c r="B17" s="16">
        <v>360</v>
      </c>
      <c r="C17" s="16">
        <v>361</v>
      </c>
      <c r="D17" s="16">
        <v>362</v>
      </c>
      <c r="E17" s="16">
        <v>363</v>
      </c>
      <c r="F17" s="16">
        <v>364</v>
      </c>
      <c r="G17" s="16">
        <v>365</v>
      </c>
      <c r="H17" s="16">
        <v>366</v>
      </c>
      <c r="I17" s="16">
        <v>367</v>
      </c>
    </row>
    <row r="18" spans="1:9" x14ac:dyDescent="0.25">
      <c r="A18" s="35" t="s">
        <v>517</v>
      </c>
      <c r="B18" s="10">
        <v>370</v>
      </c>
      <c r="C18" s="10">
        <v>371</v>
      </c>
      <c r="D18" s="10">
        <v>372</v>
      </c>
      <c r="E18" s="10">
        <v>373</v>
      </c>
      <c r="F18" s="10">
        <v>374</v>
      </c>
      <c r="G18" s="10">
        <v>375</v>
      </c>
      <c r="H18" s="10">
        <v>376</v>
      </c>
      <c r="I18" s="10">
        <v>377</v>
      </c>
    </row>
    <row r="19" spans="1:9" x14ac:dyDescent="0.25">
      <c r="A19" s="35" t="s">
        <v>518</v>
      </c>
      <c r="B19" s="16">
        <v>380</v>
      </c>
      <c r="C19" s="16">
        <v>381</v>
      </c>
      <c r="D19" s="16">
        <v>382</v>
      </c>
      <c r="E19" s="16">
        <v>383</v>
      </c>
      <c r="F19" s="16">
        <v>384</v>
      </c>
      <c r="G19" s="16">
        <v>385</v>
      </c>
      <c r="H19" s="16">
        <v>386</v>
      </c>
      <c r="I19" s="16">
        <v>387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Кнопка1_Щелчок">
                <anchor moveWithCells="1" sizeWithCells="1">
                  <from>
                    <xdr:col>0</xdr:col>
                    <xdr:colOff>142875</xdr:colOff>
                    <xdr:row>0</xdr:row>
                    <xdr:rowOff>38100</xdr:rowOff>
                  </from>
                  <to>
                    <xdr:col>1</xdr:col>
                    <xdr:colOff>1924050</xdr:colOff>
                    <xdr:row>0</xdr:row>
                    <xdr:rowOff>409575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8"/>
  <dimension ref="A1:W20"/>
  <sheetViews>
    <sheetView workbookViewId="0">
      <selection activeCell="G26" sqref="G26"/>
    </sheetView>
  </sheetViews>
  <sheetFormatPr defaultRowHeight="15" x14ac:dyDescent="0.25"/>
  <cols>
    <col min="1" max="1" width="22.5703125" customWidth="1"/>
    <col min="2" max="2" width="11.42578125" bestFit="1" customWidth="1"/>
    <col min="3" max="3" width="13.7109375" bestFit="1" customWidth="1"/>
    <col min="4" max="11" width="10.5703125" customWidth="1"/>
    <col min="12" max="12" width="14.28515625" customWidth="1"/>
    <col min="13" max="13" width="6.42578125" bestFit="1" customWidth="1"/>
    <col min="14" max="14" width="6.85546875" customWidth="1"/>
    <col min="15" max="15" width="4.7109375" customWidth="1"/>
    <col min="16" max="16" width="5.42578125" customWidth="1"/>
    <col min="17" max="17" width="4.7109375" customWidth="1"/>
  </cols>
  <sheetData>
    <row r="1" spans="1:23" ht="40.5" customHeight="1" x14ac:dyDescent="0.25"/>
    <row r="2" spans="1:23" x14ac:dyDescent="0.25">
      <c r="A2" s="132" t="s">
        <v>237</v>
      </c>
      <c r="B2" s="134"/>
      <c r="C2" s="134"/>
      <c r="D2" s="79"/>
      <c r="E2" s="128"/>
      <c r="F2" s="128"/>
      <c r="G2" s="128"/>
      <c r="H2" s="128"/>
      <c r="I2" s="128"/>
      <c r="J2" s="128"/>
      <c r="K2" s="128"/>
      <c r="L2" s="135"/>
    </row>
    <row r="3" spans="1:23" x14ac:dyDescent="0.25">
      <c r="A3" s="133"/>
      <c r="B3" s="43"/>
      <c r="C3" s="43"/>
      <c r="D3" s="78"/>
      <c r="E3" s="127"/>
      <c r="F3" s="127"/>
      <c r="G3" s="127"/>
      <c r="H3" s="127"/>
      <c r="I3" s="127"/>
      <c r="J3" s="127"/>
      <c r="K3" s="127"/>
      <c r="L3" s="136"/>
    </row>
    <row r="4" spans="1:23" x14ac:dyDescent="0.25">
      <c r="A4" s="44" t="s">
        <v>322</v>
      </c>
      <c r="B4" s="45" t="s">
        <v>241</v>
      </c>
      <c r="C4" s="44" t="s">
        <v>242</v>
      </c>
      <c r="D4" s="44" t="s">
        <v>243</v>
      </c>
      <c r="E4" s="44" t="s">
        <v>170</v>
      </c>
      <c r="F4" s="44" t="s">
        <v>323</v>
      </c>
      <c r="G4" s="44" t="s">
        <v>324</v>
      </c>
      <c r="H4" s="44" t="s">
        <v>325</v>
      </c>
      <c r="I4" s="44" t="s">
        <v>326</v>
      </c>
      <c r="J4" s="44" t="s">
        <v>327</v>
      </c>
      <c r="K4" s="44" t="s">
        <v>328</v>
      </c>
      <c r="L4" s="44" t="s">
        <v>329</v>
      </c>
      <c r="M4" t="s">
        <v>244</v>
      </c>
    </row>
    <row r="5" spans="1:23" x14ac:dyDescent="0.25">
      <c r="A5" s="44" t="s">
        <v>571</v>
      </c>
      <c r="B5" s="45" t="str">
        <f t="shared" ref="B5" si="0">CONCATENATE("{point:",N5,"}")</f>
        <v>{point:230}</v>
      </c>
      <c r="C5" s="45" t="str">
        <f t="shared" ref="C5" si="1">CONCATENATE("{point:",O5,"}")</f>
        <v>{point:231}</v>
      </c>
      <c r="D5" s="45" t="str">
        <f t="shared" ref="D5" si="2">CONCATENATE("{point:",P5,"}")</f>
        <v>{point:232}</v>
      </c>
      <c r="E5" s="45" t="str">
        <f t="shared" ref="E5" si="3">CONCATENATE("{point:",Q5,"}")</f>
        <v>{point:233}</v>
      </c>
      <c r="F5" s="45" t="str">
        <f t="shared" ref="F5" si="4">CONCATENATE("{point:",R5,"}")</f>
        <v>{point:234}</v>
      </c>
      <c r="G5" s="45" t="str">
        <f t="shared" ref="G5" si="5">CONCATENATE("{point:",S5,"}")</f>
        <v>{point:235}</v>
      </c>
      <c r="H5" s="45" t="str">
        <f t="shared" ref="H5" si="6">CONCATENATE("{point:",T5,"}")</f>
        <v>{point:236}</v>
      </c>
      <c r="I5" s="45" t="str">
        <f t="shared" ref="I5" si="7">CONCATENATE("{point:",U5,"}")</f>
        <v>{point:237}</v>
      </c>
      <c r="J5" s="45" t="str">
        <f>CONCATENATE("{func:",V5,"}")</f>
        <v>{func:238}</v>
      </c>
      <c r="K5" s="45" t="str">
        <f>CONCATENATE("{func:",W5,"}")</f>
        <v>{func:239}</v>
      </c>
      <c r="L5" s="45" t="str">
        <f t="shared" ref="L5:L20" si="8">CONCATENATE("{func:",W5,"}")</f>
        <v>{func:239}</v>
      </c>
      <c r="M5">
        <v>3</v>
      </c>
      <c r="N5" s="25">
        <v>230</v>
      </c>
      <c r="O5" s="26">
        <v>231</v>
      </c>
      <c r="P5" s="25">
        <v>232</v>
      </c>
      <c r="Q5" s="26">
        <v>233</v>
      </c>
      <c r="R5" s="25">
        <v>234</v>
      </c>
      <c r="S5" s="26">
        <v>235</v>
      </c>
      <c r="T5" s="25">
        <v>236</v>
      </c>
      <c r="U5" s="26">
        <v>237</v>
      </c>
      <c r="V5" s="25">
        <v>238</v>
      </c>
      <c r="W5" s="26">
        <v>239</v>
      </c>
    </row>
    <row r="6" spans="1:23" x14ac:dyDescent="0.25">
      <c r="A6" s="44" t="s">
        <v>572</v>
      </c>
      <c r="B6" s="45" t="str">
        <f t="shared" ref="B6:B20" si="9">CONCATENATE("{point:",N6,"}")</f>
        <v>{point:240}</v>
      </c>
      <c r="C6" s="45" t="str">
        <f t="shared" ref="C6:C20" si="10">CONCATENATE("{point:",O6,"}")</f>
        <v>{point:241}</v>
      </c>
      <c r="D6" s="45" t="str">
        <f t="shared" ref="D6:D20" si="11">CONCATENATE("{point:",P6,"}")</f>
        <v>{point:242}</v>
      </c>
      <c r="E6" s="45" t="str">
        <f t="shared" ref="E6:E20" si="12">CONCATENATE("{point:",Q6,"}")</f>
        <v>{point:243}</v>
      </c>
      <c r="F6" s="45" t="str">
        <f t="shared" ref="F6:F20" si="13">CONCATENATE("{point:",R6,"}")</f>
        <v>{point:244}</v>
      </c>
      <c r="G6" s="45" t="str">
        <f t="shared" ref="G6:G20" si="14">CONCATENATE("{point:",S6,"}")</f>
        <v>{point:245}</v>
      </c>
      <c r="H6" s="45" t="str">
        <f t="shared" ref="H6:H20" si="15">CONCATENATE("{point:",T6,"}")</f>
        <v>{point:246}</v>
      </c>
      <c r="I6" s="45" t="str">
        <f t="shared" ref="I6:I20" si="16">CONCATENATE("{point:",U6,"}")</f>
        <v>{point:247}</v>
      </c>
      <c r="J6" s="45" t="str">
        <f t="shared" ref="J6:K20" si="17">CONCATENATE("{func:",V6,"}")</f>
        <v>{func:248}</v>
      </c>
      <c r="K6" s="45" t="str">
        <f t="shared" si="17"/>
        <v>{func:249}</v>
      </c>
      <c r="L6" s="45" t="str">
        <f t="shared" si="8"/>
        <v>{func:249}</v>
      </c>
      <c r="M6">
        <v>4</v>
      </c>
      <c r="N6" s="25">
        <v>240</v>
      </c>
      <c r="O6" s="26">
        <v>241</v>
      </c>
      <c r="P6" s="25">
        <v>242</v>
      </c>
      <c r="Q6" s="26">
        <v>243</v>
      </c>
      <c r="R6" s="25">
        <v>244</v>
      </c>
      <c r="S6" s="26">
        <v>245</v>
      </c>
      <c r="T6" s="25">
        <v>246</v>
      </c>
      <c r="U6" s="26">
        <v>247</v>
      </c>
      <c r="V6" s="25">
        <v>248</v>
      </c>
      <c r="W6" s="26">
        <v>249</v>
      </c>
    </row>
    <row r="7" spans="1:23" x14ac:dyDescent="0.25">
      <c r="A7" s="44" t="s">
        <v>573</v>
      </c>
      <c r="B7" s="45" t="str">
        <f t="shared" si="9"/>
        <v>{point:250}</v>
      </c>
      <c r="C7" s="45" t="str">
        <f t="shared" si="10"/>
        <v>{point:251}</v>
      </c>
      <c r="D7" s="45" t="str">
        <f t="shared" si="11"/>
        <v>{point:252}</v>
      </c>
      <c r="E7" s="45" t="str">
        <f t="shared" si="12"/>
        <v>{point:253}</v>
      </c>
      <c r="F7" s="45" t="str">
        <f t="shared" si="13"/>
        <v>{point:254}</v>
      </c>
      <c r="G7" s="45" t="str">
        <f t="shared" si="14"/>
        <v>{point:255}</v>
      </c>
      <c r="H7" s="45" t="str">
        <f t="shared" si="15"/>
        <v>{point:256}</v>
      </c>
      <c r="I7" s="45" t="str">
        <f t="shared" si="16"/>
        <v>{point:257}</v>
      </c>
      <c r="J7" s="45" t="str">
        <f t="shared" si="17"/>
        <v>{func:258}</v>
      </c>
      <c r="K7" s="45" t="str">
        <f t="shared" si="17"/>
        <v>{func:259}</v>
      </c>
      <c r="L7" s="45" t="str">
        <f t="shared" si="8"/>
        <v>{func:259}</v>
      </c>
      <c r="M7">
        <v>5</v>
      </c>
      <c r="N7" s="25">
        <v>250</v>
      </c>
      <c r="O7" s="26">
        <v>251</v>
      </c>
      <c r="P7" s="25">
        <v>252</v>
      </c>
      <c r="Q7" s="26">
        <v>253</v>
      </c>
      <c r="R7" s="25">
        <v>254</v>
      </c>
      <c r="S7" s="26">
        <v>255</v>
      </c>
      <c r="T7" s="25">
        <v>256</v>
      </c>
      <c r="U7" s="26">
        <v>257</v>
      </c>
      <c r="V7" s="25">
        <v>258</v>
      </c>
      <c r="W7" s="26">
        <v>259</v>
      </c>
    </row>
    <row r="8" spans="1:23" x14ac:dyDescent="0.25">
      <c r="A8" s="44" t="s">
        <v>574</v>
      </c>
      <c r="B8" s="45" t="str">
        <f t="shared" si="9"/>
        <v>{point:260}</v>
      </c>
      <c r="C8" s="45" t="str">
        <f t="shared" si="10"/>
        <v>{point:261}</v>
      </c>
      <c r="D8" s="45" t="str">
        <f t="shared" si="11"/>
        <v>{point:262}</v>
      </c>
      <c r="E8" s="45" t="str">
        <f t="shared" si="12"/>
        <v>{point:263}</v>
      </c>
      <c r="F8" s="45" t="str">
        <f t="shared" si="13"/>
        <v>{point:264}</v>
      </c>
      <c r="G8" s="45" t="str">
        <f t="shared" si="14"/>
        <v>{point:265}</v>
      </c>
      <c r="H8" s="45" t="str">
        <f t="shared" si="15"/>
        <v>{point:266}</v>
      </c>
      <c r="I8" s="45" t="str">
        <f t="shared" si="16"/>
        <v>{point:267}</v>
      </c>
      <c r="J8" s="45" t="str">
        <f t="shared" si="17"/>
        <v>{func:268}</v>
      </c>
      <c r="K8" s="45" t="str">
        <f t="shared" si="17"/>
        <v>{func:269}</v>
      </c>
      <c r="L8" s="45" t="str">
        <f t="shared" si="8"/>
        <v>{func:269}</v>
      </c>
      <c r="M8">
        <v>6</v>
      </c>
      <c r="N8" s="25">
        <v>260</v>
      </c>
      <c r="O8" s="26">
        <v>261</v>
      </c>
      <c r="P8" s="25">
        <v>262</v>
      </c>
      <c r="Q8" s="26">
        <v>263</v>
      </c>
      <c r="R8" s="25">
        <v>264</v>
      </c>
      <c r="S8" s="26">
        <v>265</v>
      </c>
      <c r="T8" s="25">
        <v>266</v>
      </c>
      <c r="U8" s="26">
        <v>267</v>
      </c>
      <c r="V8" s="25">
        <v>268</v>
      </c>
      <c r="W8" s="26">
        <v>269</v>
      </c>
    </row>
    <row r="9" spans="1:23" x14ac:dyDescent="0.25">
      <c r="A9" s="44" t="s">
        <v>575</v>
      </c>
      <c r="B9" s="45" t="str">
        <f t="shared" si="9"/>
        <v>{point:270}</v>
      </c>
      <c r="C9" s="45" t="str">
        <f t="shared" si="10"/>
        <v>{point:271}</v>
      </c>
      <c r="D9" s="45" t="str">
        <f t="shared" si="11"/>
        <v>{point:272}</v>
      </c>
      <c r="E9" s="45" t="str">
        <f t="shared" si="12"/>
        <v>{point:273}</v>
      </c>
      <c r="F9" s="45" t="str">
        <f t="shared" si="13"/>
        <v>{point:274}</v>
      </c>
      <c r="G9" s="45" t="str">
        <f t="shared" si="14"/>
        <v>{point:275}</v>
      </c>
      <c r="H9" s="45" t="str">
        <f t="shared" si="15"/>
        <v>{point:276}</v>
      </c>
      <c r="I9" s="45" t="str">
        <f t="shared" si="16"/>
        <v>{point:277}</v>
      </c>
      <c r="J9" s="45" t="str">
        <f t="shared" si="17"/>
        <v>{func:278}</v>
      </c>
      <c r="K9" s="45" t="str">
        <f t="shared" si="17"/>
        <v>{func:279}</v>
      </c>
      <c r="L9" s="45" t="str">
        <f t="shared" si="8"/>
        <v>{func:279}</v>
      </c>
      <c r="M9">
        <v>7</v>
      </c>
      <c r="N9" s="25">
        <v>270</v>
      </c>
      <c r="O9" s="26">
        <v>271</v>
      </c>
      <c r="P9" s="25">
        <v>272</v>
      </c>
      <c r="Q9" s="26">
        <v>273</v>
      </c>
      <c r="R9" s="25">
        <v>274</v>
      </c>
      <c r="S9" s="26">
        <v>275</v>
      </c>
      <c r="T9" s="25">
        <v>276</v>
      </c>
      <c r="U9" s="26">
        <v>277</v>
      </c>
      <c r="V9" s="25">
        <v>278</v>
      </c>
      <c r="W9" s="26">
        <v>279</v>
      </c>
    </row>
    <row r="10" spans="1:23" x14ac:dyDescent="0.25">
      <c r="A10" s="44" t="s">
        <v>576</v>
      </c>
      <c r="B10" s="45" t="str">
        <f t="shared" si="9"/>
        <v>{point:280}</v>
      </c>
      <c r="C10" s="45" t="str">
        <f t="shared" si="10"/>
        <v>{point:281}</v>
      </c>
      <c r="D10" s="45" t="str">
        <f t="shared" si="11"/>
        <v>{point:282}</v>
      </c>
      <c r="E10" s="45" t="str">
        <f t="shared" si="12"/>
        <v>{point:283}</v>
      </c>
      <c r="F10" s="45" t="str">
        <f t="shared" si="13"/>
        <v>{point:284}</v>
      </c>
      <c r="G10" s="45" t="str">
        <f t="shared" si="14"/>
        <v>{point:285}</v>
      </c>
      <c r="H10" s="45" t="str">
        <f t="shared" si="15"/>
        <v>{point:286}</v>
      </c>
      <c r="I10" s="45" t="str">
        <f t="shared" si="16"/>
        <v>{point:287}</v>
      </c>
      <c r="J10" s="45" t="str">
        <f t="shared" si="17"/>
        <v>{func:288}</v>
      </c>
      <c r="K10" s="45" t="str">
        <f t="shared" si="17"/>
        <v>{func:289}</v>
      </c>
      <c r="L10" s="45" t="str">
        <f t="shared" si="8"/>
        <v>{func:289}</v>
      </c>
      <c r="M10">
        <v>8</v>
      </c>
      <c r="N10" s="25">
        <v>280</v>
      </c>
      <c r="O10" s="26">
        <v>281</v>
      </c>
      <c r="P10" s="25">
        <v>282</v>
      </c>
      <c r="Q10" s="26">
        <v>283</v>
      </c>
      <c r="R10" s="25">
        <v>284</v>
      </c>
      <c r="S10" s="26">
        <v>285</v>
      </c>
      <c r="T10" s="25">
        <v>286</v>
      </c>
      <c r="U10" s="26">
        <v>287</v>
      </c>
      <c r="V10" s="25">
        <v>288</v>
      </c>
      <c r="W10" s="26">
        <v>289</v>
      </c>
    </row>
    <row r="11" spans="1:23" x14ac:dyDescent="0.25">
      <c r="A11" s="44" t="s">
        <v>577</v>
      </c>
      <c r="B11" s="45" t="str">
        <f t="shared" si="9"/>
        <v>{point:290}</v>
      </c>
      <c r="C11" s="45" t="str">
        <f t="shared" si="10"/>
        <v>{point:291}</v>
      </c>
      <c r="D11" s="45" t="str">
        <f t="shared" si="11"/>
        <v>{point:292}</v>
      </c>
      <c r="E11" s="45" t="str">
        <f t="shared" si="12"/>
        <v>{point:293}</v>
      </c>
      <c r="F11" s="45" t="str">
        <f t="shared" si="13"/>
        <v>{point:294}</v>
      </c>
      <c r="G11" s="45" t="str">
        <f t="shared" si="14"/>
        <v>{point:295}</v>
      </c>
      <c r="H11" s="45" t="str">
        <f t="shared" si="15"/>
        <v>{point:296}</v>
      </c>
      <c r="I11" s="45" t="str">
        <f t="shared" si="16"/>
        <v>{point:297}</v>
      </c>
      <c r="J11" s="45" t="str">
        <f t="shared" si="17"/>
        <v>{func:298}</v>
      </c>
      <c r="K11" s="45" t="str">
        <f t="shared" si="17"/>
        <v>{func:299}</v>
      </c>
      <c r="L11" s="45" t="str">
        <f t="shared" si="8"/>
        <v>{func:299}</v>
      </c>
      <c r="M11">
        <v>9</v>
      </c>
      <c r="N11" s="25">
        <v>290</v>
      </c>
      <c r="O11" s="26">
        <v>291</v>
      </c>
      <c r="P11" s="25">
        <v>292</v>
      </c>
      <c r="Q11" s="26">
        <v>293</v>
      </c>
      <c r="R11" s="25">
        <v>294</v>
      </c>
      <c r="S11" s="26">
        <v>295</v>
      </c>
      <c r="T11" s="25">
        <v>296</v>
      </c>
      <c r="U11" s="26">
        <v>297</v>
      </c>
      <c r="V11" s="25">
        <v>298</v>
      </c>
      <c r="W11" s="26">
        <v>299</v>
      </c>
    </row>
    <row r="12" spans="1:23" x14ac:dyDescent="0.25">
      <c r="A12" s="44" t="s">
        <v>578</v>
      </c>
      <c r="B12" s="45" t="str">
        <f t="shared" si="9"/>
        <v>{point:300}</v>
      </c>
      <c r="C12" s="45" t="str">
        <f t="shared" si="10"/>
        <v>{point:301}</v>
      </c>
      <c r="D12" s="45" t="str">
        <f t="shared" si="11"/>
        <v>{point:302}</v>
      </c>
      <c r="E12" s="45" t="str">
        <f t="shared" si="12"/>
        <v>{point:303}</v>
      </c>
      <c r="F12" s="45" t="str">
        <f t="shared" si="13"/>
        <v>{point:304}</v>
      </c>
      <c r="G12" s="45" t="str">
        <f t="shared" si="14"/>
        <v>{point:305}</v>
      </c>
      <c r="H12" s="45" t="str">
        <f t="shared" si="15"/>
        <v>{point:306}</v>
      </c>
      <c r="I12" s="45" t="str">
        <f t="shared" si="16"/>
        <v>{point:307}</v>
      </c>
      <c r="J12" s="45" t="str">
        <f t="shared" si="17"/>
        <v>{func:308}</v>
      </c>
      <c r="K12" s="45" t="str">
        <f t="shared" si="17"/>
        <v>{func:309}</v>
      </c>
      <c r="L12" s="45" t="str">
        <f t="shared" si="8"/>
        <v>{func:309}</v>
      </c>
      <c r="M12">
        <v>10</v>
      </c>
      <c r="N12" s="25">
        <v>300</v>
      </c>
      <c r="O12" s="26">
        <v>301</v>
      </c>
      <c r="P12" s="25">
        <v>302</v>
      </c>
      <c r="Q12" s="26">
        <v>303</v>
      </c>
      <c r="R12" s="25">
        <v>304</v>
      </c>
      <c r="S12" s="26">
        <v>305</v>
      </c>
      <c r="T12" s="25">
        <v>306</v>
      </c>
      <c r="U12" s="26">
        <v>307</v>
      </c>
      <c r="V12" s="25">
        <v>308</v>
      </c>
      <c r="W12" s="26">
        <v>309</v>
      </c>
    </row>
    <row r="13" spans="1:23" x14ac:dyDescent="0.25">
      <c r="A13" s="44" t="s">
        <v>579</v>
      </c>
      <c r="B13" s="45" t="str">
        <f t="shared" si="9"/>
        <v>{point:310}</v>
      </c>
      <c r="C13" s="45" t="str">
        <f t="shared" si="10"/>
        <v>{point:311}</v>
      </c>
      <c r="D13" s="45" t="str">
        <f t="shared" si="11"/>
        <v>{point:312}</v>
      </c>
      <c r="E13" s="45" t="str">
        <f t="shared" si="12"/>
        <v>{point:313}</v>
      </c>
      <c r="F13" s="45" t="str">
        <f t="shared" si="13"/>
        <v>{point:314}</v>
      </c>
      <c r="G13" s="45" t="str">
        <f t="shared" si="14"/>
        <v>{point:315}</v>
      </c>
      <c r="H13" s="45" t="str">
        <f t="shared" si="15"/>
        <v>{point:316}</v>
      </c>
      <c r="I13" s="45" t="str">
        <f t="shared" si="16"/>
        <v>{point:317}</v>
      </c>
      <c r="J13" s="45" t="str">
        <f t="shared" si="17"/>
        <v>{func:318}</v>
      </c>
      <c r="K13" s="45" t="str">
        <f t="shared" si="17"/>
        <v>{func:319}</v>
      </c>
      <c r="L13" s="45" t="str">
        <f t="shared" si="8"/>
        <v>{func:319}</v>
      </c>
      <c r="M13">
        <v>11</v>
      </c>
      <c r="N13" s="25">
        <v>310</v>
      </c>
      <c r="O13" s="26">
        <v>311</v>
      </c>
      <c r="P13" s="25">
        <v>312</v>
      </c>
      <c r="Q13" s="26">
        <v>313</v>
      </c>
      <c r="R13" s="25">
        <v>314</v>
      </c>
      <c r="S13" s="26">
        <v>315</v>
      </c>
      <c r="T13" s="25">
        <v>316</v>
      </c>
      <c r="U13" s="26">
        <v>317</v>
      </c>
      <c r="V13" s="25">
        <v>318</v>
      </c>
      <c r="W13" s="26">
        <v>319</v>
      </c>
    </row>
    <row r="14" spans="1:23" x14ac:dyDescent="0.25">
      <c r="A14" s="44" t="s">
        <v>580</v>
      </c>
      <c r="B14" s="45" t="str">
        <f t="shared" si="9"/>
        <v>{point:320}</v>
      </c>
      <c r="C14" s="45" t="str">
        <f t="shared" si="10"/>
        <v>{point:321}</v>
      </c>
      <c r="D14" s="45" t="str">
        <f t="shared" si="11"/>
        <v>{point:322}</v>
      </c>
      <c r="E14" s="45" t="str">
        <f t="shared" si="12"/>
        <v>{point:323}</v>
      </c>
      <c r="F14" s="45" t="str">
        <f t="shared" si="13"/>
        <v>{point:324}</v>
      </c>
      <c r="G14" s="45" t="str">
        <f t="shared" si="14"/>
        <v>{point:325}</v>
      </c>
      <c r="H14" s="45" t="str">
        <f t="shared" si="15"/>
        <v>{point:326}</v>
      </c>
      <c r="I14" s="45" t="str">
        <f t="shared" si="16"/>
        <v>{point:327}</v>
      </c>
      <c r="J14" s="45" t="str">
        <f t="shared" si="17"/>
        <v>{func:328}</v>
      </c>
      <c r="K14" s="45" t="str">
        <f t="shared" si="17"/>
        <v>{func:329}</v>
      </c>
      <c r="L14" s="45" t="str">
        <f t="shared" si="8"/>
        <v>{func:329}</v>
      </c>
      <c r="M14">
        <v>12</v>
      </c>
      <c r="N14" s="25">
        <v>320</v>
      </c>
      <c r="O14" s="26">
        <v>321</v>
      </c>
      <c r="P14" s="25">
        <v>322</v>
      </c>
      <c r="Q14" s="26">
        <v>323</v>
      </c>
      <c r="R14" s="25">
        <v>324</v>
      </c>
      <c r="S14" s="26">
        <v>325</v>
      </c>
      <c r="T14" s="25">
        <v>326</v>
      </c>
      <c r="U14" s="26">
        <v>327</v>
      </c>
      <c r="V14" s="25">
        <v>328</v>
      </c>
      <c r="W14" s="26">
        <v>329</v>
      </c>
    </row>
    <row r="15" spans="1:23" x14ac:dyDescent="0.25">
      <c r="A15" s="44" t="s">
        <v>581</v>
      </c>
      <c r="B15" s="45" t="str">
        <f t="shared" si="9"/>
        <v>{point:330}</v>
      </c>
      <c r="C15" s="45" t="str">
        <f t="shared" si="10"/>
        <v>{point:331}</v>
      </c>
      <c r="D15" s="45" t="str">
        <f t="shared" si="11"/>
        <v>{point:332}</v>
      </c>
      <c r="E15" s="45" t="str">
        <f t="shared" si="12"/>
        <v>{point:333}</v>
      </c>
      <c r="F15" s="45" t="str">
        <f t="shared" si="13"/>
        <v>{point:334}</v>
      </c>
      <c r="G15" s="45" t="str">
        <f t="shared" si="14"/>
        <v>{point:335}</v>
      </c>
      <c r="H15" s="45" t="str">
        <f t="shared" si="15"/>
        <v>{point:336}</v>
      </c>
      <c r="I15" s="45" t="str">
        <f t="shared" si="16"/>
        <v>{point:337}</v>
      </c>
      <c r="J15" s="45" t="str">
        <f t="shared" si="17"/>
        <v>{func:338}</v>
      </c>
      <c r="K15" s="45" t="str">
        <f t="shared" si="17"/>
        <v>{func:339}</v>
      </c>
      <c r="L15" s="45" t="str">
        <f t="shared" si="8"/>
        <v>{func:339}</v>
      </c>
      <c r="M15">
        <v>13</v>
      </c>
      <c r="N15" s="25">
        <v>330</v>
      </c>
      <c r="O15" s="26">
        <v>331</v>
      </c>
      <c r="P15" s="25">
        <v>332</v>
      </c>
      <c r="Q15" s="26">
        <v>333</v>
      </c>
      <c r="R15" s="25">
        <v>334</v>
      </c>
      <c r="S15" s="26">
        <v>335</v>
      </c>
      <c r="T15" s="25">
        <v>336</v>
      </c>
      <c r="U15" s="26">
        <v>337</v>
      </c>
      <c r="V15" s="25">
        <v>338</v>
      </c>
      <c r="W15" s="26">
        <v>339</v>
      </c>
    </row>
    <row r="16" spans="1:23" x14ac:dyDescent="0.25">
      <c r="A16" s="44" t="s">
        <v>582</v>
      </c>
      <c r="B16" s="45" t="str">
        <f t="shared" si="9"/>
        <v>{point:340}</v>
      </c>
      <c r="C16" s="45" t="str">
        <f t="shared" si="10"/>
        <v>{point:341}</v>
      </c>
      <c r="D16" s="45" t="str">
        <f t="shared" si="11"/>
        <v>{point:342}</v>
      </c>
      <c r="E16" s="45" t="str">
        <f t="shared" si="12"/>
        <v>{point:343}</v>
      </c>
      <c r="F16" s="45" t="str">
        <f t="shared" si="13"/>
        <v>{point:344}</v>
      </c>
      <c r="G16" s="45" t="str">
        <f t="shared" si="14"/>
        <v>{point:345}</v>
      </c>
      <c r="H16" s="45" t="str">
        <f t="shared" si="15"/>
        <v>{point:346}</v>
      </c>
      <c r="I16" s="45" t="str">
        <f t="shared" si="16"/>
        <v>{point:347}</v>
      </c>
      <c r="J16" s="45" t="str">
        <f t="shared" si="17"/>
        <v>{func:348}</v>
      </c>
      <c r="K16" s="45" t="str">
        <f t="shared" si="17"/>
        <v>{func:349}</v>
      </c>
      <c r="L16" s="45" t="str">
        <f t="shared" si="8"/>
        <v>{func:349}</v>
      </c>
      <c r="M16">
        <v>14</v>
      </c>
      <c r="N16" s="25">
        <v>340</v>
      </c>
      <c r="O16" s="26">
        <v>341</v>
      </c>
      <c r="P16" s="25">
        <v>342</v>
      </c>
      <c r="Q16" s="26">
        <v>343</v>
      </c>
      <c r="R16" s="25">
        <v>344</v>
      </c>
      <c r="S16" s="26">
        <v>345</v>
      </c>
      <c r="T16" s="25">
        <v>346</v>
      </c>
      <c r="U16" s="26">
        <v>347</v>
      </c>
      <c r="V16" s="25">
        <v>348</v>
      </c>
      <c r="W16" s="26">
        <v>349</v>
      </c>
    </row>
    <row r="17" spans="1:23" x14ac:dyDescent="0.25">
      <c r="A17" s="44" t="s">
        <v>583</v>
      </c>
      <c r="B17" s="45" t="str">
        <f t="shared" si="9"/>
        <v>{point:350}</v>
      </c>
      <c r="C17" s="45" t="str">
        <f t="shared" si="10"/>
        <v>{point:351}</v>
      </c>
      <c r="D17" s="45" t="str">
        <f t="shared" si="11"/>
        <v>{point:352}</v>
      </c>
      <c r="E17" s="45" t="str">
        <f t="shared" si="12"/>
        <v>{point:353}</v>
      </c>
      <c r="F17" s="45" t="str">
        <f t="shared" si="13"/>
        <v>{point:354}</v>
      </c>
      <c r="G17" s="45" t="str">
        <f t="shared" si="14"/>
        <v>{point:355}</v>
      </c>
      <c r="H17" s="45" t="str">
        <f t="shared" si="15"/>
        <v>{point:356}</v>
      </c>
      <c r="I17" s="45" t="str">
        <f t="shared" si="16"/>
        <v>{point:357}</v>
      </c>
      <c r="J17" s="45" t="str">
        <f t="shared" si="17"/>
        <v>{func:358}</v>
      </c>
      <c r="K17" s="45" t="str">
        <f t="shared" si="17"/>
        <v>{func:359}</v>
      </c>
      <c r="L17" s="45" t="str">
        <f t="shared" si="8"/>
        <v>{func:359}</v>
      </c>
      <c r="M17">
        <v>15</v>
      </c>
      <c r="N17" s="25">
        <v>350</v>
      </c>
      <c r="O17" s="26">
        <v>351</v>
      </c>
      <c r="P17" s="25">
        <v>352</v>
      </c>
      <c r="Q17" s="26">
        <v>353</v>
      </c>
      <c r="R17" s="25">
        <v>354</v>
      </c>
      <c r="S17" s="26">
        <v>355</v>
      </c>
      <c r="T17" s="25">
        <v>356</v>
      </c>
      <c r="U17" s="26">
        <v>357</v>
      </c>
      <c r="V17" s="25">
        <v>358</v>
      </c>
      <c r="W17" s="26">
        <v>359</v>
      </c>
    </row>
    <row r="18" spans="1:23" x14ac:dyDescent="0.25">
      <c r="A18" s="44" t="s">
        <v>584</v>
      </c>
      <c r="B18" s="45" t="str">
        <f t="shared" si="9"/>
        <v>{point:360}</v>
      </c>
      <c r="C18" s="45" t="str">
        <f t="shared" si="10"/>
        <v>{point:361}</v>
      </c>
      <c r="D18" s="45" t="str">
        <f t="shared" si="11"/>
        <v>{point:362}</v>
      </c>
      <c r="E18" s="45" t="str">
        <f t="shared" si="12"/>
        <v>{point:363}</v>
      </c>
      <c r="F18" s="45" t="str">
        <f t="shared" si="13"/>
        <v>{point:364}</v>
      </c>
      <c r="G18" s="45" t="str">
        <f t="shared" si="14"/>
        <v>{point:365}</v>
      </c>
      <c r="H18" s="45" t="str">
        <f t="shared" si="15"/>
        <v>{point:366}</v>
      </c>
      <c r="I18" s="45" t="str">
        <f t="shared" si="16"/>
        <v>{point:367}</v>
      </c>
      <c r="J18" s="45" t="str">
        <f t="shared" si="17"/>
        <v>{func:368}</v>
      </c>
      <c r="K18" s="45" t="str">
        <f t="shared" si="17"/>
        <v>{func:369}</v>
      </c>
      <c r="L18" s="45" t="str">
        <f t="shared" si="8"/>
        <v>{func:369}</v>
      </c>
      <c r="M18" s="130">
        <v>16</v>
      </c>
      <c r="N18" s="25">
        <v>360</v>
      </c>
      <c r="O18" s="26">
        <v>361</v>
      </c>
      <c r="P18" s="25">
        <v>362</v>
      </c>
      <c r="Q18" s="26">
        <v>363</v>
      </c>
      <c r="R18" s="25">
        <v>364</v>
      </c>
      <c r="S18" s="26">
        <v>365</v>
      </c>
      <c r="T18" s="25">
        <v>366</v>
      </c>
      <c r="U18" s="26">
        <v>367</v>
      </c>
      <c r="V18" s="25">
        <v>368</v>
      </c>
      <c r="W18" s="26">
        <v>369</v>
      </c>
    </row>
    <row r="19" spans="1:23" x14ac:dyDescent="0.25">
      <c r="A19" s="44" t="s">
        <v>585</v>
      </c>
      <c r="B19" s="45" t="str">
        <f t="shared" si="9"/>
        <v>{point:370}</v>
      </c>
      <c r="C19" s="45" t="str">
        <f t="shared" si="10"/>
        <v>{point:371}</v>
      </c>
      <c r="D19" s="45" t="str">
        <f t="shared" si="11"/>
        <v>{point:372}</v>
      </c>
      <c r="E19" s="45" t="str">
        <f t="shared" si="12"/>
        <v>{point:373}</v>
      </c>
      <c r="F19" s="45" t="str">
        <f t="shared" si="13"/>
        <v>{point:374}</v>
      </c>
      <c r="G19" s="45" t="str">
        <f t="shared" si="14"/>
        <v>{point:375}</v>
      </c>
      <c r="H19" s="45" t="str">
        <f t="shared" si="15"/>
        <v>{point:376}</v>
      </c>
      <c r="I19" s="45" t="str">
        <f t="shared" si="16"/>
        <v>{point:377}</v>
      </c>
      <c r="J19" s="45" t="str">
        <f t="shared" si="17"/>
        <v>{func:378}</v>
      </c>
      <c r="K19" s="45" t="str">
        <f t="shared" si="17"/>
        <v>{func:379}</v>
      </c>
      <c r="L19" s="45" t="str">
        <f t="shared" si="8"/>
        <v>{func:379}</v>
      </c>
      <c r="M19" s="130">
        <v>17</v>
      </c>
      <c r="N19" s="25">
        <v>370</v>
      </c>
      <c r="O19" s="26">
        <v>371</v>
      </c>
      <c r="P19" s="25">
        <v>372</v>
      </c>
      <c r="Q19" s="26">
        <v>373</v>
      </c>
      <c r="R19" s="25">
        <v>374</v>
      </c>
      <c r="S19" s="26">
        <v>375</v>
      </c>
      <c r="T19" s="25">
        <v>376</v>
      </c>
      <c r="U19" s="26">
        <v>377</v>
      </c>
      <c r="V19" s="25">
        <v>378</v>
      </c>
      <c r="W19" s="26">
        <v>379</v>
      </c>
    </row>
    <row r="20" spans="1:23" x14ac:dyDescent="0.25">
      <c r="A20" s="44" t="s">
        <v>586</v>
      </c>
      <c r="B20" s="45" t="str">
        <f t="shared" si="9"/>
        <v>{point:380}</v>
      </c>
      <c r="C20" s="45" t="str">
        <f t="shared" si="10"/>
        <v>{point:381}</v>
      </c>
      <c r="D20" s="45" t="str">
        <f t="shared" si="11"/>
        <v>{point:382}</v>
      </c>
      <c r="E20" s="45" t="str">
        <f t="shared" si="12"/>
        <v>{point:383}</v>
      </c>
      <c r="F20" s="45" t="str">
        <f t="shared" si="13"/>
        <v>{point:384}</v>
      </c>
      <c r="G20" s="45" t="str">
        <f t="shared" si="14"/>
        <v>{point:385}</v>
      </c>
      <c r="H20" s="45" t="str">
        <f t="shared" si="15"/>
        <v>{point:386}</v>
      </c>
      <c r="I20" s="45" t="str">
        <f t="shared" si="16"/>
        <v>{point:387}</v>
      </c>
      <c r="J20" s="45" t="str">
        <f t="shared" si="17"/>
        <v>{func:388}</v>
      </c>
      <c r="K20" s="45" t="str">
        <f t="shared" si="17"/>
        <v>{func:389}</v>
      </c>
      <c r="L20" s="45" t="str">
        <f t="shared" si="8"/>
        <v>{func:389}</v>
      </c>
      <c r="M20" s="130">
        <v>18</v>
      </c>
      <c r="N20" s="25">
        <v>380</v>
      </c>
      <c r="O20" s="26">
        <v>381</v>
      </c>
      <c r="P20" s="25">
        <v>382</v>
      </c>
      <c r="Q20" s="26">
        <v>383</v>
      </c>
      <c r="R20" s="25">
        <v>384</v>
      </c>
      <c r="S20" s="26">
        <v>385</v>
      </c>
      <c r="T20" s="25">
        <v>386</v>
      </c>
      <c r="U20" s="26">
        <v>387</v>
      </c>
      <c r="V20" s="25">
        <v>388</v>
      </c>
      <c r="W20" s="26">
        <v>389</v>
      </c>
    </row>
  </sheetData>
  <mergeCells count="3">
    <mergeCell ref="A2:A3"/>
    <mergeCell ref="B2:C2"/>
    <mergeCell ref="L2:L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Кнопка1_Щелчок">
                <anchor moveWithCells="1" sizeWithCells="1">
                  <from>
                    <xdr:col>0</xdr:col>
                    <xdr:colOff>142875</xdr:colOff>
                    <xdr:row>0</xdr:row>
                    <xdr:rowOff>38100</xdr:rowOff>
                  </from>
                  <to>
                    <xdr:col>1</xdr:col>
                    <xdr:colOff>1924050</xdr:colOff>
                    <xdr:row>0</xdr:row>
                    <xdr:rowOff>409575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1:BX80"/>
  <sheetViews>
    <sheetView topLeftCell="A34" workbookViewId="0">
      <pane xSplit="1" topLeftCell="B1" activePane="topRight" state="frozen"/>
      <selection pane="topRight" activeCell="B15" sqref="B15"/>
    </sheetView>
  </sheetViews>
  <sheetFormatPr defaultRowHeight="15" x14ac:dyDescent="0.25"/>
  <cols>
    <col min="1" max="1" width="10.5703125" customWidth="1"/>
    <col min="2" max="2" width="11.42578125" bestFit="1" customWidth="1"/>
    <col min="3" max="3" width="13.7109375" bestFit="1" customWidth="1"/>
    <col min="4" max="4" width="12.42578125" customWidth="1"/>
    <col min="5" max="5" width="11.42578125" bestFit="1" customWidth="1"/>
    <col min="6" max="6" width="13.7109375" bestFit="1" customWidth="1"/>
    <col min="7" max="7" width="12.42578125" customWidth="1"/>
    <col min="8" max="8" width="11.42578125" bestFit="1" customWidth="1"/>
    <col min="9" max="9" width="13.7109375" bestFit="1" customWidth="1"/>
    <col min="10" max="10" width="12.42578125" customWidth="1"/>
    <col min="11" max="11" width="11.42578125" bestFit="1" customWidth="1"/>
    <col min="12" max="12" width="13.7109375" bestFit="1" customWidth="1"/>
    <col min="13" max="13" width="12.42578125" customWidth="1"/>
    <col min="14" max="14" width="11.42578125" bestFit="1" customWidth="1"/>
    <col min="15" max="15" width="13.7109375" bestFit="1" customWidth="1"/>
    <col min="16" max="16" width="12.42578125" customWidth="1"/>
    <col min="17" max="17" width="11.42578125" bestFit="1" customWidth="1"/>
    <col min="18" max="18" width="13.7109375" bestFit="1" customWidth="1"/>
    <col min="19" max="19" width="12.42578125" customWidth="1"/>
    <col min="20" max="20" width="11.42578125" bestFit="1" customWidth="1"/>
    <col min="21" max="21" width="13.7109375" bestFit="1" customWidth="1"/>
    <col min="22" max="22" width="12.42578125" customWidth="1"/>
    <col min="23" max="23" width="11.42578125" bestFit="1" customWidth="1"/>
    <col min="24" max="24" width="13.7109375" bestFit="1" customWidth="1"/>
    <col min="25" max="25" width="12.42578125" customWidth="1"/>
    <col min="26" max="26" width="11.42578125" bestFit="1" customWidth="1"/>
    <col min="27" max="27" width="13.7109375" bestFit="1" customWidth="1"/>
    <col min="28" max="28" width="12.42578125" customWidth="1"/>
    <col min="29" max="29" width="11.42578125" bestFit="1" customWidth="1"/>
    <col min="30" max="30" width="13.7109375" bestFit="1" customWidth="1"/>
    <col min="31" max="31" width="12.42578125" customWidth="1"/>
    <col min="32" max="32" width="11.42578125" bestFit="1" customWidth="1"/>
    <col min="33" max="33" width="13.7109375" bestFit="1" customWidth="1"/>
    <col min="34" max="34" width="12.42578125" customWidth="1"/>
    <col min="35" max="35" width="11.42578125" bestFit="1" customWidth="1"/>
    <col min="36" max="36" width="13.7109375" bestFit="1" customWidth="1"/>
    <col min="37" max="37" width="12.42578125" customWidth="1"/>
    <col min="38" max="38" width="11.42578125" bestFit="1" customWidth="1"/>
    <col min="39" max="39" width="13.7109375" bestFit="1" customWidth="1"/>
    <col min="40" max="40" width="12.42578125" customWidth="1"/>
    <col min="41" max="41" width="11.42578125" bestFit="1" customWidth="1"/>
    <col min="42" max="42" width="13.7109375" bestFit="1" customWidth="1"/>
    <col min="43" max="43" width="12.42578125" customWidth="1"/>
    <col min="44" max="44" width="11.42578125" bestFit="1" customWidth="1"/>
    <col min="45" max="45" width="13.7109375" bestFit="1" customWidth="1"/>
    <col min="46" max="46" width="12.42578125" customWidth="1"/>
    <col min="47" max="47" width="11.42578125" bestFit="1" customWidth="1"/>
    <col min="48" max="48" width="13.7109375" bestFit="1" customWidth="1"/>
    <col min="49" max="49" width="12.42578125" customWidth="1"/>
    <col min="50" max="50" width="11.42578125" bestFit="1" customWidth="1"/>
    <col min="51" max="51" width="13.7109375" bestFit="1" customWidth="1"/>
    <col min="52" max="52" width="12.42578125" customWidth="1"/>
    <col min="53" max="53" width="11.42578125" bestFit="1" customWidth="1"/>
    <col min="54" max="54" width="13.7109375" bestFit="1" customWidth="1"/>
    <col min="55" max="55" width="12.42578125" customWidth="1"/>
    <col min="56" max="56" width="11.42578125" bestFit="1" customWidth="1"/>
    <col min="57" max="57" width="13.7109375" bestFit="1" customWidth="1"/>
    <col min="58" max="58" width="12.42578125" customWidth="1"/>
    <col min="59" max="59" width="11.42578125" bestFit="1" customWidth="1"/>
    <col min="60" max="60" width="13.7109375" bestFit="1" customWidth="1"/>
    <col min="61" max="61" width="12.42578125" customWidth="1"/>
    <col min="62" max="62" width="11.42578125" bestFit="1" customWidth="1"/>
    <col min="63" max="63" width="13.7109375" bestFit="1" customWidth="1"/>
    <col min="64" max="64" width="12.42578125" customWidth="1"/>
    <col min="65" max="65" width="11.42578125" bestFit="1" customWidth="1"/>
    <col min="66" max="66" width="13.7109375" bestFit="1" customWidth="1"/>
    <col min="67" max="67" width="12.42578125" customWidth="1"/>
    <col min="68" max="68" width="11.42578125" bestFit="1" customWidth="1"/>
    <col min="69" max="69" width="13.7109375" bestFit="1" customWidth="1"/>
    <col min="70" max="70" width="12.42578125" customWidth="1"/>
    <col min="71" max="71" width="11.42578125" bestFit="1" customWidth="1"/>
    <col min="72" max="72" width="13.7109375" bestFit="1" customWidth="1"/>
    <col min="73" max="73" width="12.42578125" customWidth="1"/>
    <col min="74" max="74" width="11.42578125" bestFit="1" customWidth="1"/>
    <col min="75" max="75" width="13.7109375" bestFit="1" customWidth="1"/>
    <col min="76" max="76" width="12.42578125" customWidth="1"/>
  </cols>
  <sheetData>
    <row r="1" spans="1:76" s="51" customFormat="1" ht="40.5" customHeight="1" x14ac:dyDescent="0.25">
      <c r="A1" s="50"/>
      <c r="B1" s="137" t="s">
        <v>176</v>
      </c>
      <c r="C1" s="138"/>
      <c r="D1" s="139"/>
      <c r="E1" s="137" t="s">
        <v>177</v>
      </c>
      <c r="F1" s="138"/>
      <c r="G1" s="139"/>
      <c r="H1" s="137" t="s">
        <v>178</v>
      </c>
      <c r="I1" s="138"/>
      <c r="J1" s="139"/>
      <c r="K1" s="137" t="s">
        <v>179</v>
      </c>
      <c r="L1" s="138"/>
      <c r="M1" s="139"/>
      <c r="N1" s="137" t="s">
        <v>180</v>
      </c>
      <c r="O1" s="138"/>
      <c r="P1" s="139"/>
      <c r="Q1" s="137" t="s">
        <v>181</v>
      </c>
      <c r="R1" s="138"/>
      <c r="S1" s="139"/>
      <c r="T1" s="137" t="s">
        <v>182</v>
      </c>
      <c r="U1" s="138"/>
      <c r="V1" s="139"/>
      <c r="W1" s="137" t="s">
        <v>183</v>
      </c>
      <c r="X1" s="138"/>
      <c r="Y1" s="139"/>
      <c r="Z1" s="137" t="s">
        <v>184</v>
      </c>
      <c r="AA1" s="138"/>
      <c r="AB1" s="139"/>
      <c r="AC1" s="137" t="s">
        <v>185</v>
      </c>
      <c r="AD1" s="138"/>
      <c r="AE1" s="139"/>
      <c r="AF1" s="137" t="s">
        <v>186</v>
      </c>
      <c r="AG1" s="138"/>
      <c r="AH1" s="139"/>
      <c r="AI1" s="137" t="s">
        <v>187</v>
      </c>
      <c r="AJ1" s="138"/>
      <c r="AK1" s="139"/>
      <c r="AL1" s="137" t="s">
        <v>188</v>
      </c>
      <c r="AM1" s="138"/>
      <c r="AN1" s="139"/>
      <c r="AO1" s="137" t="s">
        <v>189</v>
      </c>
      <c r="AP1" s="138"/>
      <c r="AQ1" s="139"/>
      <c r="AR1" s="137" t="s">
        <v>190</v>
      </c>
      <c r="AS1" s="138"/>
      <c r="AT1" s="139"/>
      <c r="AU1" s="137" t="s">
        <v>191</v>
      </c>
      <c r="AV1" s="138"/>
      <c r="AW1" s="139"/>
      <c r="AX1" s="137" t="s">
        <v>192</v>
      </c>
      <c r="AY1" s="138"/>
      <c r="AZ1" s="139"/>
      <c r="BA1" s="137" t="s">
        <v>193</v>
      </c>
      <c r="BB1" s="138"/>
      <c r="BC1" s="139"/>
      <c r="BD1" s="137" t="s">
        <v>194</v>
      </c>
      <c r="BE1" s="138"/>
      <c r="BF1" s="139"/>
      <c r="BG1" s="137" t="s">
        <v>195</v>
      </c>
      <c r="BH1" s="138"/>
      <c r="BI1" s="139"/>
      <c r="BJ1" s="137" t="s">
        <v>196</v>
      </c>
      <c r="BK1" s="138"/>
      <c r="BL1" s="139"/>
      <c r="BM1" s="137" t="s">
        <v>197</v>
      </c>
      <c r="BN1" s="138"/>
      <c r="BO1" s="139"/>
      <c r="BP1" s="137" t="s">
        <v>198</v>
      </c>
      <c r="BQ1" s="138"/>
      <c r="BR1" s="139"/>
      <c r="BS1" s="137" t="s">
        <v>199</v>
      </c>
      <c r="BT1" s="138"/>
      <c r="BU1" s="139"/>
      <c r="BV1" s="137" t="s">
        <v>200</v>
      </c>
      <c r="BW1" s="138"/>
      <c r="BX1" s="139"/>
    </row>
    <row r="2" spans="1:76" ht="15" customHeight="1" x14ac:dyDescent="0.25">
      <c r="A2" s="144" t="s">
        <v>246</v>
      </c>
      <c r="B2" s="140" t="s">
        <v>238</v>
      </c>
      <c r="C2" s="141"/>
      <c r="D2" s="142" t="s">
        <v>245</v>
      </c>
      <c r="E2" s="140" t="s">
        <v>238</v>
      </c>
      <c r="F2" s="141"/>
      <c r="G2" s="142" t="s">
        <v>245</v>
      </c>
      <c r="H2" s="140" t="s">
        <v>238</v>
      </c>
      <c r="I2" s="141"/>
      <c r="J2" s="142" t="s">
        <v>245</v>
      </c>
      <c r="K2" s="140" t="s">
        <v>238</v>
      </c>
      <c r="L2" s="141"/>
      <c r="M2" s="142" t="s">
        <v>245</v>
      </c>
      <c r="N2" s="140" t="s">
        <v>238</v>
      </c>
      <c r="O2" s="141"/>
      <c r="P2" s="142" t="s">
        <v>245</v>
      </c>
      <c r="Q2" s="140" t="s">
        <v>238</v>
      </c>
      <c r="R2" s="141"/>
      <c r="S2" s="142" t="s">
        <v>245</v>
      </c>
      <c r="T2" s="140" t="s">
        <v>238</v>
      </c>
      <c r="U2" s="141"/>
      <c r="V2" s="142" t="s">
        <v>245</v>
      </c>
      <c r="W2" s="140" t="s">
        <v>238</v>
      </c>
      <c r="X2" s="141"/>
      <c r="Y2" s="142" t="s">
        <v>245</v>
      </c>
      <c r="Z2" s="140" t="s">
        <v>238</v>
      </c>
      <c r="AA2" s="141"/>
      <c r="AB2" s="142" t="s">
        <v>245</v>
      </c>
      <c r="AC2" s="140" t="s">
        <v>238</v>
      </c>
      <c r="AD2" s="141"/>
      <c r="AE2" s="142" t="s">
        <v>245</v>
      </c>
      <c r="AF2" s="140" t="s">
        <v>238</v>
      </c>
      <c r="AG2" s="141"/>
      <c r="AH2" s="142" t="s">
        <v>245</v>
      </c>
      <c r="AI2" s="140" t="s">
        <v>238</v>
      </c>
      <c r="AJ2" s="141"/>
      <c r="AK2" s="142" t="s">
        <v>245</v>
      </c>
      <c r="AL2" s="140" t="s">
        <v>238</v>
      </c>
      <c r="AM2" s="141"/>
      <c r="AN2" s="142" t="s">
        <v>245</v>
      </c>
      <c r="AO2" s="140" t="s">
        <v>238</v>
      </c>
      <c r="AP2" s="141"/>
      <c r="AQ2" s="142" t="s">
        <v>245</v>
      </c>
      <c r="AR2" s="140" t="s">
        <v>238</v>
      </c>
      <c r="AS2" s="141"/>
      <c r="AT2" s="142" t="s">
        <v>245</v>
      </c>
      <c r="AU2" s="140" t="s">
        <v>238</v>
      </c>
      <c r="AV2" s="141"/>
      <c r="AW2" s="142" t="s">
        <v>245</v>
      </c>
      <c r="AX2" s="140" t="s">
        <v>238</v>
      </c>
      <c r="AY2" s="141"/>
      <c r="AZ2" s="142" t="s">
        <v>245</v>
      </c>
      <c r="BA2" s="140" t="s">
        <v>238</v>
      </c>
      <c r="BB2" s="141"/>
      <c r="BC2" s="142" t="s">
        <v>245</v>
      </c>
      <c r="BD2" s="140" t="s">
        <v>238</v>
      </c>
      <c r="BE2" s="141"/>
      <c r="BF2" s="142" t="s">
        <v>245</v>
      </c>
      <c r="BG2" s="140" t="s">
        <v>238</v>
      </c>
      <c r="BH2" s="141"/>
      <c r="BI2" s="142" t="s">
        <v>245</v>
      </c>
      <c r="BJ2" s="140" t="s">
        <v>238</v>
      </c>
      <c r="BK2" s="141"/>
      <c r="BL2" s="142" t="s">
        <v>245</v>
      </c>
      <c r="BM2" s="140" t="s">
        <v>238</v>
      </c>
      <c r="BN2" s="141"/>
      <c r="BO2" s="142" t="s">
        <v>245</v>
      </c>
      <c r="BP2" s="140" t="s">
        <v>238</v>
      </c>
      <c r="BQ2" s="141"/>
      <c r="BR2" s="142" t="s">
        <v>245</v>
      </c>
      <c r="BS2" s="140" t="s">
        <v>238</v>
      </c>
      <c r="BT2" s="141"/>
      <c r="BU2" s="142" t="s">
        <v>245</v>
      </c>
      <c r="BV2" s="140" t="s">
        <v>238</v>
      </c>
      <c r="BW2" s="141"/>
      <c r="BX2" s="142" t="s">
        <v>245</v>
      </c>
    </row>
    <row r="3" spans="1:76" x14ac:dyDescent="0.25">
      <c r="A3" s="145"/>
      <c r="B3" s="49" t="s">
        <v>239</v>
      </c>
      <c r="C3" s="48" t="s">
        <v>240</v>
      </c>
      <c r="D3" s="143"/>
      <c r="E3" s="49" t="s">
        <v>239</v>
      </c>
      <c r="F3" s="48" t="s">
        <v>240</v>
      </c>
      <c r="G3" s="143"/>
      <c r="H3" s="49" t="s">
        <v>239</v>
      </c>
      <c r="I3" s="48" t="s">
        <v>240</v>
      </c>
      <c r="J3" s="143"/>
      <c r="K3" s="49" t="s">
        <v>239</v>
      </c>
      <c r="L3" s="48" t="s">
        <v>240</v>
      </c>
      <c r="M3" s="143"/>
      <c r="N3" s="49" t="s">
        <v>239</v>
      </c>
      <c r="O3" s="48" t="s">
        <v>240</v>
      </c>
      <c r="P3" s="143"/>
      <c r="Q3" s="49" t="s">
        <v>239</v>
      </c>
      <c r="R3" s="48" t="s">
        <v>240</v>
      </c>
      <c r="S3" s="143"/>
      <c r="T3" s="49" t="s">
        <v>239</v>
      </c>
      <c r="U3" s="48" t="s">
        <v>240</v>
      </c>
      <c r="V3" s="143"/>
      <c r="W3" s="49" t="s">
        <v>239</v>
      </c>
      <c r="X3" s="48" t="s">
        <v>240</v>
      </c>
      <c r="Y3" s="143"/>
      <c r="Z3" s="49" t="s">
        <v>239</v>
      </c>
      <c r="AA3" s="48" t="s">
        <v>240</v>
      </c>
      <c r="AB3" s="143"/>
      <c r="AC3" s="49" t="s">
        <v>239</v>
      </c>
      <c r="AD3" s="48" t="s">
        <v>240</v>
      </c>
      <c r="AE3" s="143"/>
      <c r="AF3" s="49" t="s">
        <v>239</v>
      </c>
      <c r="AG3" s="48" t="s">
        <v>240</v>
      </c>
      <c r="AH3" s="143"/>
      <c r="AI3" s="49" t="s">
        <v>239</v>
      </c>
      <c r="AJ3" s="48" t="s">
        <v>240</v>
      </c>
      <c r="AK3" s="143"/>
      <c r="AL3" s="49" t="s">
        <v>239</v>
      </c>
      <c r="AM3" s="48" t="s">
        <v>240</v>
      </c>
      <c r="AN3" s="143"/>
      <c r="AO3" s="49" t="s">
        <v>239</v>
      </c>
      <c r="AP3" s="48" t="s">
        <v>240</v>
      </c>
      <c r="AQ3" s="143"/>
      <c r="AR3" s="49" t="s">
        <v>239</v>
      </c>
      <c r="AS3" s="48" t="s">
        <v>240</v>
      </c>
      <c r="AT3" s="143"/>
      <c r="AU3" s="49" t="s">
        <v>239</v>
      </c>
      <c r="AV3" s="48" t="s">
        <v>240</v>
      </c>
      <c r="AW3" s="143"/>
      <c r="AX3" s="49" t="s">
        <v>239</v>
      </c>
      <c r="AY3" s="48" t="s">
        <v>240</v>
      </c>
      <c r="AZ3" s="143"/>
      <c r="BA3" s="49" t="s">
        <v>239</v>
      </c>
      <c r="BB3" s="48" t="s">
        <v>240</v>
      </c>
      <c r="BC3" s="143"/>
      <c r="BD3" s="49" t="s">
        <v>239</v>
      </c>
      <c r="BE3" s="48" t="s">
        <v>240</v>
      </c>
      <c r="BF3" s="143"/>
      <c r="BG3" s="49" t="s">
        <v>239</v>
      </c>
      <c r="BH3" s="48" t="s">
        <v>240</v>
      </c>
      <c r="BI3" s="143"/>
      <c r="BJ3" s="49" t="s">
        <v>239</v>
      </c>
      <c r="BK3" s="48" t="s">
        <v>240</v>
      </c>
      <c r="BL3" s="143"/>
      <c r="BM3" s="49" t="s">
        <v>239</v>
      </c>
      <c r="BN3" s="48" t="s">
        <v>240</v>
      </c>
      <c r="BO3" s="143"/>
      <c r="BP3" s="49" t="s">
        <v>239</v>
      </c>
      <c r="BQ3" s="48" t="s">
        <v>240</v>
      </c>
      <c r="BR3" s="143"/>
      <c r="BS3" s="49" t="s">
        <v>239</v>
      </c>
      <c r="BT3" s="48" t="s">
        <v>240</v>
      </c>
      <c r="BU3" s="143"/>
      <c r="BV3" s="49" t="s">
        <v>239</v>
      </c>
      <c r="BW3" s="48" t="s">
        <v>240</v>
      </c>
      <c r="BX3" s="143"/>
    </row>
    <row r="4" spans="1:76" x14ac:dyDescent="0.25">
      <c r="B4" t="s">
        <v>247</v>
      </c>
      <c r="C4" t="s">
        <v>248</v>
      </c>
      <c r="D4" t="s">
        <v>249</v>
      </c>
      <c r="E4" t="s">
        <v>250</v>
      </c>
      <c r="F4" t="s">
        <v>251</v>
      </c>
      <c r="G4" t="s">
        <v>252</v>
      </c>
      <c r="H4" s="52" t="s">
        <v>253</v>
      </c>
      <c r="I4" s="46" t="s">
        <v>254</v>
      </c>
      <c r="J4" s="46" t="s">
        <v>255</v>
      </c>
      <c r="K4" s="53" t="s">
        <v>256</v>
      </c>
      <c r="L4" s="47" t="s">
        <v>257</v>
      </c>
      <c r="M4" s="47" t="s">
        <v>258</v>
      </c>
      <c r="N4" t="s">
        <v>259</v>
      </c>
      <c r="O4" t="s">
        <v>260</v>
      </c>
      <c r="P4" t="s">
        <v>261</v>
      </c>
      <c r="Q4" t="s">
        <v>262</v>
      </c>
      <c r="R4" t="s">
        <v>263</v>
      </c>
      <c r="S4" t="s">
        <v>264</v>
      </c>
      <c r="T4" t="s">
        <v>265</v>
      </c>
      <c r="U4" t="s">
        <v>266</v>
      </c>
      <c r="V4" t="s">
        <v>267</v>
      </c>
      <c r="W4" t="s">
        <v>268</v>
      </c>
      <c r="X4" t="s">
        <v>269</v>
      </c>
      <c r="Y4" t="s">
        <v>270</v>
      </c>
      <c r="Z4" t="s">
        <v>271</v>
      </c>
      <c r="AA4" t="s">
        <v>272</v>
      </c>
      <c r="AB4" t="s">
        <v>273</v>
      </c>
      <c r="AC4" t="s">
        <v>274</v>
      </c>
      <c r="AD4" t="s">
        <v>275</v>
      </c>
      <c r="AE4" t="s">
        <v>276</v>
      </c>
      <c r="AF4" t="s">
        <v>277</v>
      </c>
      <c r="AG4" t="s">
        <v>278</v>
      </c>
      <c r="AH4" t="s">
        <v>279</v>
      </c>
      <c r="AI4" t="s">
        <v>280</v>
      </c>
      <c r="AJ4" t="s">
        <v>281</v>
      </c>
      <c r="AK4" t="s">
        <v>282</v>
      </c>
      <c r="AL4" t="s">
        <v>283</v>
      </c>
      <c r="AM4" t="s">
        <v>284</v>
      </c>
      <c r="AN4" t="s">
        <v>285</v>
      </c>
      <c r="AO4" t="s">
        <v>286</v>
      </c>
      <c r="AP4" t="s">
        <v>287</v>
      </c>
      <c r="AQ4" t="s">
        <v>288</v>
      </c>
      <c r="AR4" t="s">
        <v>289</v>
      </c>
      <c r="AS4" t="s">
        <v>290</v>
      </c>
      <c r="AT4" t="s">
        <v>291</v>
      </c>
      <c r="AU4" t="s">
        <v>292</v>
      </c>
      <c r="AV4" t="s">
        <v>293</v>
      </c>
      <c r="AW4" t="s">
        <v>294</v>
      </c>
      <c r="AX4" t="s">
        <v>295</v>
      </c>
      <c r="AY4" t="s">
        <v>296</v>
      </c>
      <c r="AZ4" t="s">
        <v>297</v>
      </c>
      <c r="BA4" s="53" t="s">
        <v>298</v>
      </c>
      <c r="BB4" s="47" t="s">
        <v>299</v>
      </c>
      <c r="BC4" s="47" t="s">
        <v>300</v>
      </c>
      <c r="BD4" t="s">
        <v>301</v>
      </c>
      <c r="BE4" t="s">
        <v>302</v>
      </c>
      <c r="BF4" t="s">
        <v>303</v>
      </c>
      <c r="BG4" t="s">
        <v>304</v>
      </c>
      <c r="BH4" t="s">
        <v>305</v>
      </c>
      <c r="BI4" t="s">
        <v>306</v>
      </c>
      <c r="BJ4" t="s">
        <v>307</v>
      </c>
      <c r="BK4" t="s">
        <v>308</v>
      </c>
      <c r="BL4" t="s">
        <v>309</v>
      </c>
      <c r="BM4" t="s">
        <v>310</v>
      </c>
      <c r="BN4" t="s">
        <v>311</v>
      </c>
      <c r="BO4" t="s">
        <v>312</v>
      </c>
      <c r="BP4" t="s">
        <v>313</v>
      </c>
      <c r="BQ4" t="s">
        <v>314</v>
      </c>
      <c r="BR4" t="s">
        <v>315</v>
      </c>
      <c r="BS4" t="s">
        <v>316</v>
      </c>
      <c r="BT4" t="s">
        <v>317</v>
      </c>
      <c r="BU4" t="s">
        <v>318</v>
      </c>
      <c r="BV4" t="s">
        <v>319</v>
      </c>
      <c r="BW4" t="s">
        <v>320</v>
      </c>
      <c r="BX4" t="s">
        <v>321</v>
      </c>
    </row>
    <row r="6" spans="1:76" x14ac:dyDescent="0.25">
      <c r="A6" t="s">
        <v>241</v>
      </c>
      <c r="B6" t="s">
        <v>247</v>
      </c>
      <c r="D6" t="str">
        <f>CHAR(E6)</f>
        <v>_x0001_</v>
      </c>
      <c r="E6">
        <v>1</v>
      </c>
    </row>
    <row r="7" spans="1:76" x14ac:dyDescent="0.25">
      <c r="A7" t="s">
        <v>242</v>
      </c>
      <c r="B7" t="s">
        <v>248</v>
      </c>
      <c r="D7" t="str">
        <f t="shared" ref="D7:D30" si="0">CHAR(E7)</f>
        <v>_x0002_</v>
      </c>
      <c r="E7">
        <v>2</v>
      </c>
    </row>
    <row r="8" spans="1:76" x14ac:dyDescent="0.25">
      <c r="A8" t="s">
        <v>243</v>
      </c>
      <c r="B8" t="s">
        <v>249</v>
      </c>
      <c r="D8" t="str">
        <f t="shared" si="0"/>
        <v>_x0003_</v>
      </c>
      <c r="E8">
        <v>3</v>
      </c>
    </row>
    <row r="9" spans="1:76" x14ac:dyDescent="0.25">
      <c r="A9" t="s">
        <v>170</v>
      </c>
      <c r="B9" t="s">
        <v>250</v>
      </c>
      <c r="D9" t="str">
        <f t="shared" si="0"/>
        <v>_x0004_</v>
      </c>
      <c r="E9">
        <v>4</v>
      </c>
    </row>
    <row r="10" spans="1:76" x14ac:dyDescent="0.25">
      <c r="A10" t="s">
        <v>323</v>
      </c>
      <c r="B10" t="s">
        <v>251</v>
      </c>
      <c r="D10" t="str">
        <f t="shared" si="0"/>
        <v>_x0005_</v>
      </c>
      <c r="E10">
        <v>5</v>
      </c>
    </row>
    <row r="11" spans="1:76" x14ac:dyDescent="0.25">
      <c r="A11" t="s">
        <v>324</v>
      </c>
      <c r="B11" t="s">
        <v>252</v>
      </c>
      <c r="D11" t="str">
        <f t="shared" si="0"/>
        <v>_x0006_</v>
      </c>
      <c r="E11">
        <v>6</v>
      </c>
    </row>
    <row r="12" spans="1:76" x14ac:dyDescent="0.25">
      <c r="A12" t="s">
        <v>325</v>
      </c>
      <c r="B12" s="52" t="s">
        <v>253</v>
      </c>
      <c r="D12" t="str">
        <f t="shared" si="0"/>
        <v>_x0007_</v>
      </c>
      <c r="E12">
        <v>7</v>
      </c>
    </row>
    <row r="13" spans="1:76" x14ac:dyDescent="0.25">
      <c r="A13" t="s">
        <v>326</v>
      </c>
      <c r="B13" s="46" t="s">
        <v>254</v>
      </c>
      <c r="D13" t="str">
        <f t="shared" si="0"/>
        <v>H</v>
      </c>
      <c r="E13">
        <v>72</v>
      </c>
    </row>
    <row r="14" spans="1:76" x14ac:dyDescent="0.25">
      <c r="A14" t="s">
        <v>327</v>
      </c>
      <c r="B14" s="46" t="s">
        <v>255</v>
      </c>
      <c r="D14" t="str">
        <f t="shared" si="0"/>
        <v>I</v>
      </c>
      <c r="E14">
        <v>73</v>
      </c>
    </row>
    <row r="15" spans="1:76" x14ac:dyDescent="0.25">
      <c r="A15" t="s">
        <v>328</v>
      </c>
      <c r="B15" s="53" t="s">
        <v>256</v>
      </c>
      <c r="D15" t="str">
        <f t="shared" si="0"/>
        <v>J</v>
      </c>
      <c r="E15">
        <v>74</v>
      </c>
    </row>
    <row r="16" spans="1:76" x14ac:dyDescent="0.25">
      <c r="A16" t="s">
        <v>329</v>
      </c>
      <c r="B16" s="47" t="s">
        <v>257</v>
      </c>
      <c r="D16" t="str">
        <f t="shared" si="0"/>
        <v>K</v>
      </c>
      <c r="E16">
        <v>75</v>
      </c>
    </row>
    <row r="17" spans="1:5" x14ac:dyDescent="0.25">
      <c r="A17" t="s">
        <v>330</v>
      </c>
      <c r="B17" s="47" t="s">
        <v>258</v>
      </c>
      <c r="D17" t="str">
        <f t="shared" si="0"/>
        <v>L</v>
      </c>
      <c r="E17">
        <v>76</v>
      </c>
    </row>
    <row r="18" spans="1:5" x14ac:dyDescent="0.25">
      <c r="A18" t="s">
        <v>331</v>
      </c>
      <c r="B18" t="s">
        <v>259</v>
      </c>
      <c r="D18" t="str">
        <f t="shared" si="0"/>
        <v>M</v>
      </c>
      <c r="E18">
        <v>77</v>
      </c>
    </row>
    <row r="19" spans="1:5" x14ac:dyDescent="0.25">
      <c r="A19" t="s">
        <v>332</v>
      </c>
      <c r="B19" t="s">
        <v>260</v>
      </c>
      <c r="D19" t="str">
        <f t="shared" si="0"/>
        <v>N</v>
      </c>
      <c r="E19">
        <v>78</v>
      </c>
    </row>
    <row r="20" spans="1:5" x14ac:dyDescent="0.25">
      <c r="A20" t="s">
        <v>333</v>
      </c>
      <c r="B20" t="s">
        <v>261</v>
      </c>
      <c r="D20" t="str">
        <f t="shared" si="0"/>
        <v>O</v>
      </c>
      <c r="E20">
        <v>79</v>
      </c>
    </row>
    <row r="21" spans="1:5" x14ac:dyDescent="0.25">
      <c r="A21" t="s">
        <v>168</v>
      </c>
      <c r="B21" t="s">
        <v>262</v>
      </c>
      <c r="D21" t="str">
        <f t="shared" si="0"/>
        <v>P</v>
      </c>
      <c r="E21">
        <v>80</v>
      </c>
    </row>
    <row r="22" spans="1:5" x14ac:dyDescent="0.25">
      <c r="A22" t="s">
        <v>334</v>
      </c>
      <c r="B22" t="s">
        <v>263</v>
      </c>
      <c r="D22" t="str">
        <f t="shared" si="0"/>
        <v>Q</v>
      </c>
      <c r="E22">
        <v>81</v>
      </c>
    </row>
    <row r="23" spans="1:5" x14ac:dyDescent="0.25">
      <c r="A23" t="s">
        <v>335</v>
      </c>
      <c r="B23" t="s">
        <v>264</v>
      </c>
      <c r="D23" t="str">
        <f t="shared" si="0"/>
        <v>R</v>
      </c>
      <c r="E23">
        <v>82</v>
      </c>
    </row>
    <row r="24" spans="1:5" x14ac:dyDescent="0.25">
      <c r="A24" t="s">
        <v>165</v>
      </c>
      <c r="B24" t="s">
        <v>265</v>
      </c>
      <c r="D24" t="str">
        <f t="shared" si="0"/>
        <v>S</v>
      </c>
      <c r="E24">
        <v>83</v>
      </c>
    </row>
    <row r="25" spans="1:5" x14ac:dyDescent="0.25">
      <c r="A25" t="s">
        <v>336</v>
      </c>
      <c r="B25" t="s">
        <v>266</v>
      </c>
      <c r="D25" t="str">
        <f t="shared" si="0"/>
        <v>T</v>
      </c>
      <c r="E25">
        <v>84</v>
      </c>
    </row>
    <row r="26" spans="1:5" x14ac:dyDescent="0.25">
      <c r="A26" t="s">
        <v>337</v>
      </c>
      <c r="B26" t="s">
        <v>267</v>
      </c>
      <c r="D26" t="str">
        <f t="shared" si="0"/>
        <v>U</v>
      </c>
      <c r="E26">
        <v>85</v>
      </c>
    </row>
    <row r="27" spans="1:5" x14ac:dyDescent="0.25">
      <c r="A27" t="s">
        <v>338</v>
      </c>
      <c r="B27" t="s">
        <v>268</v>
      </c>
      <c r="D27" t="str">
        <f t="shared" si="0"/>
        <v>V</v>
      </c>
      <c r="E27">
        <v>86</v>
      </c>
    </row>
    <row r="28" spans="1:5" x14ac:dyDescent="0.25">
      <c r="A28" t="s">
        <v>339</v>
      </c>
      <c r="B28" t="s">
        <v>269</v>
      </c>
      <c r="D28" t="str">
        <f t="shared" si="0"/>
        <v>W</v>
      </c>
      <c r="E28">
        <v>87</v>
      </c>
    </row>
    <row r="29" spans="1:5" x14ac:dyDescent="0.25">
      <c r="A29" t="s">
        <v>340</v>
      </c>
      <c r="B29" t="s">
        <v>270</v>
      </c>
      <c r="D29" t="str">
        <f t="shared" si="0"/>
        <v>X</v>
      </c>
      <c r="E29">
        <v>88</v>
      </c>
    </row>
    <row r="30" spans="1:5" x14ac:dyDescent="0.25">
      <c r="A30" t="s">
        <v>341</v>
      </c>
      <c r="B30" t="s">
        <v>271</v>
      </c>
      <c r="D30" t="str">
        <f t="shared" si="0"/>
        <v>Y</v>
      </c>
      <c r="E30">
        <v>89</v>
      </c>
    </row>
    <row r="31" spans="1:5" x14ac:dyDescent="0.25">
      <c r="A31" t="str">
        <f>CONCATENATE("A",D31)</f>
        <v>AA</v>
      </c>
      <c r="B31" t="s">
        <v>272</v>
      </c>
      <c r="D31" t="s">
        <v>322</v>
      </c>
      <c r="E31">
        <v>90</v>
      </c>
    </row>
    <row r="32" spans="1:5" x14ac:dyDescent="0.25">
      <c r="A32" t="str">
        <f t="shared" ref="A32:A56" si="1">CONCATENATE("A",D32)</f>
        <v>AB</v>
      </c>
      <c r="B32" t="s">
        <v>273</v>
      </c>
      <c r="D32" t="s">
        <v>241</v>
      </c>
    </row>
    <row r="33" spans="1:4" x14ac:dyDescent="0.25">
      <c r="A33" t="str">
        <f t="shared" si="1"/>
        <v>AC</v>
      </c>
      <c r="B33" t="s">
        <v>274</v>
      </c>
      <c r="D33" t="s">
        <v>242</v>
      </c>
    </row>
    <row r="34" spans="1:4" x14ac:dyDescent="0.25">
      <c r="A34" t="str">
        <f t="shared" si="1"/>
        <v>AD</v>
      </c>
      <c r="B34" t="s">
        <v>275</v>
      </c>
      <c r="D34" t="s">
        <v>243</v>
      </c>
    </row>
    <row r="35" spans="1:4" x14ac:dyDescent="0.25">
      <c r="A35" t="str">
        <f t="shared" si="1"/>
        <v>AE</v>
      </c>
      <c r="B35" t="s">
        <v>276</v>
      </c>
      <c r="D35" t="s">
        <v>170</v>
      </c>
    </row>
    <row r="36" spans="1:4" x14ac:dyDescent="0.25">
      <c r="A36" t="str">
        <f t="shared" si="1"/>
        <v>AF</v>
      </c>
      <c r="B36" t="s">
        <v>277</v>
      </c>
      <c r="D36" t="s">
        <v>323</v>
      </c>
    </row>
    <row r="37" spans="1:4" x14ac:dyDescent="0.25">
      <c r="A37" t="str">
        <f t="shared" si="1"/>
        <v>AG</v>
      </c>
      <c r="B37" t="s">
        <v>278</v>
      </c>
      <c r="D37" t="s">
        <v>324</v>
      </c>
    </row>
    <row r="38" spans="1:4" x14ac:dyDescent="0.25">
      <c r="A38" t="str">
        <f t="shared" si="1"/>
        <v>AH</v>
      </c>
      <c r="B38" t="s">
        <v>279</v>
      </c>
      <c r="D38" t="s">
        <v>325</v>
      </c>
    </row>
    <row r="39" spans="1:4" x14ac:dyDescent="0.25">
      <c r="A39" t="str">
        <f t="shared" si="1"/>
        <v>AI</v>
      </c>
      <c r="B39" t="s">
        <v>280</v>
      </c>
      <c r="D39" t="s">
        <v>326</v>
      </c>
    </row>
    <row r="40" spans="1:4" x14ac:dyDescent="0.25">
      <c r="A40" t="str">
        <f t="shared" si="1"/>
        <v>AJ</v>
      </c>
      <c r="B40" t="s">
        <v>281</v>
      </c>
      <c r="D40" t="s">
        <v>327</v>
      </c>
    </row>
    <row r="41" spans="1:4" x14ac:dyDescent="0.25">
      <c r="A41" t="str">
        <f t="shared" si="1"/>
        <v>AK</v>
      </c>
      <c r="B41" t="s">
        <v>282</v>
      </c>
      <c r="D41" t="s">
        <v>328</v>
      </c>
    </row>
    <row r="42" spans="1:4" x14ac:dyDescent="0.25">
      <c r="A42" t="str">
        <f t="shared" si="1"/>
        <v>AL</v>
      </c>
      <c r="B42" t="s">
        <v>283</v>
      </c>
      <c r="D42" t="s">
        <v>329</v>
      </c>
    </row>
    <row r="43" spans="1:4" x14ac:dyDescent="0.25">
      <c r="A43" t="str">
        <f t="shared" si="1"/>
        <v>AM</v>
      </c>
      <c r="B43" t="s">
        <v>284</v>
      </c>
      <c r="D43" t="s">
        <v>330</v>
      </c>
    </row>
    <row r="44" spans="1:4" x14ac:dyDescent="0.25">
      <c r="A44" t="str">
        <f t="shared" si="1"/>
        <v>AN</v>
      </c>
      <c r="B44" t="s">
        <v>285</v>
      </c>
      <c r="D44" t="s">
        <v>331</v>
      </c>
    </row>
    <row r="45" spans="1:4" x14ac:dyDescent="0.25">
      <c r="A45" t="str">
        <f t="shared" si="1"/>
        <v>AO</v>
      </c>
      <c r="B45" t="s">
        <v>286</v>
      </c>
      <c r="D45" t="s">
        <v>332</v>
      </c>
    </row>
    <row r="46" spans="1:4" x14ac:dyDescent="0.25">
      <c r="A46" t="str">
        <f t="shared" si="1"/>
        <v>AP</v>
      </c>
      <c r="B46" t="s">
        <v>287</v>
      </c>
      <c r="D46" t="s">
        <v>333</v>
      </c>
    </row>
    <row r="47" spans="1:4" x14ac:dyDescent="0.25">
      <c r="A47" t="str">
        <f t="shared" si="1"/>
        <v>AQ</v>
      </c>
      <c r="B47" t="s">
        <v>288</v>
      </c>
      <c r="D47" t="s">
        <v>168</v>
      </c>
    </row>
    <row r="48" spans="1:4" x14ac:dyDescent="0.25">
      <c r="A48" t="str">
        <f t="shared" si="1"/>
        <v>AR</v>
      </c>
      <c r="B48" t="s">
        <v>289</v>
      </c>
      <c r="D48" t="s">
        <v>334</v>
      </c>
    </row>
    <row r="49" spans="1:4" x14ac:dyDescent="0.25">
      <c r="A49" t="str">
        <f t="shared" si="1"/>
        <v>AS</v>
      </c>
      <c r="B49" t="s">
        <v>290</v>
      </c>
      <c r="D49" t="s">
        <v>335</v>
      </c>
    </row>
    <row r="50" spans="1:4" x14ac:dyDescent="0.25">
      <c r="A50" t="str">
        <f t="shared" si="1"/>
        <v>AT</v>
      </c>
      <c r="B50" t="s">
        <v>291</v>
      </c>
      <c r="D50" t="s">
        <v>165</v>
      </c>
    </row>
    <row r="51" spans="1:4" x14ac:dyDescent="0.25">
      <c r="A51" t="str">
        <f t="shared" si="1"/>
        <v>AU</v>
      </c>
      <c r="B51" t="s">
        <v>292</v>
      </c>
      <c r="D51" t="s">
        <v>336</v>
      </c>
    </row>
    <row r="52" spans="1:4" x14ac:dyDescent="0.25">
      <c r="A52" t="str">
        <f t="shared" si="1"/>
        <v>AV</v>
      </c>
      <c r="B52" t="s">
        <v>293</v>
      </c>
      <c r="D52" t="s">
        <v>337</v>
      </c>
    </row>
    <row r="53" spans="1:4" x14ac:dyDescent="0.25">
      <c r="A53" t="str">
        <f t="shared" si="1"/>
        <v>AW</v>
      </c>
      <c r="B53" t="s">
        <v>294</v>
      </c>
      <c r="D53" t="s">
        <v>338</v>
      </c>
    </row>
    <row r="54" spans="1:4" x14ac:dyDescent="0.25">
      <c r="A54" t="str">
        <f t="shared" si="1"/>
        <v>AX</v>
      </c>
      <c r="B54" t="s">
        <v>295</v>
      </c>
      <c r="D54" t="s">
        <v>339</v>
      </c>
    </row>
    <row r="55" spans="1:4" x14ac:dyDescent="0.25">
      <c r="A55" t="str">
        <f t="shared" si="1"/>
        <v>AY</v>
      </c>
      <c r="B55" t="s">
        <v>296</v>
      </c>
      <c r="D55" t="s">
        <v>340</v>
      </c>
    </row>
    <row r="56" spans="1:4" x14ac:dyDescent="0.25">
      <c r="A56" t="str">
        <f t="shared" si="1"/>
        <v>AZ</v>
      </c>
      <c r="B56" t="s">
        <v>297</v>
      </c>
      <c r="D56" t="s">
        <v>341</v>
      </c>
    </row>
    <row r="57" spans="1:4" x14ac:dyDescent="0.25">
      <c r="A57" t="str">
        <f>CONCATENATE("B",D57)</f>
        <v>BA</v>
      </c>
      <c r="B57" s="53" t="s">
        <v>298</v>
      </c>
      <c r="D57" t="s">
        <v>322</v>
      </c>
    </row>
    <row r="58" spans="1:4" x14ac:dyDescent="0.25">
      <c r="A58" t="str">
        <f t="shared" ref="A58:A80" si="2">CONCATENATE("B",D58)</f>
        <v>BB</v>
      </c>
      <c r="B58" s="47" t="s">
        <v>299</v>
      </c>
      <c r="D58" t="s">
        <v>241</v>
      </c>
    </row>
    <row r="59" spans="1:4" x14ac:dyDescent="0.25">
      <c r="A59" t="str">
        <f t="shared" si="2"/>
        <v>BC</v>
      </c>
      <c r="B59" s="47" t="s">
        <v>300</v>
      </c>
      <c r="D59" t="s">
        <v>242</v>
      </c>
    </row>
    <row r="60" spans="1:4" x14ac:dyDescent="0.25">
      <c r="A60" t="str">
        <f t="shared" si="2"/>
        <v>BD</v>
      </c>
      <c r="B60" t="s">
        <v>301</v>
      </c>
      <c r="D60" t="s">
        <v>243</v>
      </c>
    </row>
    <row r="61" spans="1:4" x14ac:dyDescent="0.25">
      <c r="A61" t="str">
        <f t="shared" si="2"/>
        <v>BE</v>
      </c>
      <c r="B61" t="s">
        <v>302</v>
      </c>
      <c r="D61" t="s">
        <v>170</v>
      </c>
    </row>
    <row r="62" spans="1:4" x14ac:dyDescent="0.25">
      <c r="A62" t="str">
        <f t="shared" si="2"/>
        <v>BF</v>
      </c>
      <c r="B62" t="s">
        <v>303</v>
      </c>
      <c r="D62" t="s">
        <v>323</v>
      </c>
    </row>
    <row r="63" spans="1:4" x14ac:dyDescent="0.25">
      <c r="A63" t="str">
        <f t="shared" si="2"/>
        <v>BG</v>
      </c>
      <c r="B63" t="s">
        <v>304</v>
      </c>
      <c r="D63" t="s">
        <v>324</v>
      </c>
    </row>
    <row r="64" spans="1:4" x14ac:dyDescent="0.25">
      <c r="A64" t="str">
        <f t="shared" si="2"/>
        <v>BH</v>
      </c>
      <c r="B64" t="s">
        <v>305</v>
      </c>
      <c r="D64" t="s">
        <v>325</v>
      </c>
    </row>
    <row r="65" spans="1:4" x14ac:dyDescent="0.25">
      <c r="A65" t="str">
        <f t="shared" si="2"/>
        <v>BI</v>
      </c>
      <c r="B65" t="s">
        <v>306</v>
      </c>
      <c r="D65" t="s">
        <v>326</v>
      </c>
    </row>
    <row r="66" spans="1:4" x14ac:dyDescent="0.25">
      <c r="A66" t="str">
        <f t="shared" si="2"/>
        <v>BJ</v>
      </c>
      <c r="B66" t="s">
        <v>307</v>
      </c>
      <c r="D66" t="s">
        <v>327</v>
      </c>
    </row>
    <row r="67" spans="1:4" x14ac:dyDescent="0.25">
      <c r="A67" t="str">
        <f t="shared" si="2"/>
        <v>BK</v>
      </c>
      <c r="B67" t="s">
        <v>308</v>
      </c>
      <c r="D67" t="s">
        <v>328</v>
      </c>
    </row>
    <row r="68" spans="1:4" x14ac:dyDescent="0.25">
      <c r="A68" t="str">
        <f t="shared" si="2"/>
        <v>BL</v>
      </c>
      <c r="B68" t="s">
        <v>309</v>
      </c>
      <c r="D68" t="s">
        <v>329</v>
      </c>
    </row>
    <row r="69" spans="1:4" x14ac:dyDescent="0.25">
      <c r="A69" t="str">
        <f t="shared" si="2"/>
        <v>BM</v>
      </c>
      <c r="B69" t="s">
        <v>310</v>
      </c>
      <c r="D69" t="s">
        <v>330</v>
      </c>
    </row>
    <row r="70" spans="1:4" x14ac:dyDescent="0.25">
      <c r="A70" t="str">
        <f t="shared" si="2"/>
        <v>BN</v>
      </c>
      <c r="B70" t="s">
        <v>311</v>
      </c>
      <c r="D70" t="s">
        <v>331</v>
      </c>
    </row>
    <row r="71" spans="1:4" x14ac:dyDescent="0.25">
      <c r="A71" t="str">
        <f t="shared" si="2"/>
        <v>BO</v>
      </c>
      <c r="B71" t="s">
        <v>312</v>
      </c>
      <c r="D71" t="s">
        <v>332</v>
      </c>
    </row>
    <row r="72" spans="1:4" x14ac:dyDescent="0.25">
      <c r="A72" t="str">
        <f t="shared" si="2"/>
        <v>BP</v>
      </c>
      <c r="B72" t="s">
        <v>313</v>
      </c>
      <c r="D72" t="s">
        <v>333</v>
      </c>
    </row>
    <row r="73" spans="1:4" x14ac:dyDescent="0.25">
      <c r="A73" t="str">
        <f t="shared" si="2"/>
        <v>BQ</v>
      </c>
      <c r="B73" t="s">
        <v>314</v>
      </c>
      <c r="D73" t="s">
        <v>168</v>
      </c>
    </row>
    <row r="74" spans="1:4" x14ac:dyDescent="0.25">
      <c r="A74" t="str">
        <f t="shared" si="2"/>
        <v>BR</v>
      </c>
      <c r="B74" t="s">
        <v>315</v>
      </c>
      <c r="D74" t="s">
        <v>334</v>
      </c>
    </row>
    <row r="75" spans="1:4" x14ac:dyDescent="0.25">
      <c r="A75" t="str">
        <f t="shared" si="2"/>
        <v>BS</v>
      </c>
      <c r="B75" t="s">
        <v>316</v>
      </c>
      <c r="D75" t="s">
        <v>335</v>
      </c>
    </row>
    <row r="76" spans="1:4" x14ac:dyDescent="0.25">
      <c r="A76" t="str">
        <f t="shared" si="2"/>
        <v>BT</v>
      </c>
      <c r="B76" t="s">
        <v>317</v>
      </c>
      <c r="D76" t="s">
        <v>165</v>
      </c>
    </row>
    <row r="77" spans="1:4" x14ac:dyDescent="0.25">
      <c r="A77" t="str">
        <f t="shared" si="2"/>
        <v>BU</v>
      </c>
      <c r="B77" t="s">
        <v>318</v>
      </c>
      <c r="D77" t="s">
        <v>336</v>
      </c>
    </row>
    <row r="78" spans="1:4" x14ac:dyDescent="0.25">
      <c r="A78" t="str">
        <f t="shared" si="2"/>
        <v>BV</v>
      </c>
      <c r="B78" t="s">
        <v>319</v>
      </c>
      <c r="D78" t="s">
        <v>337</v>
      </c>
    </row>
    <row r="79" spans="1:4" x14ac:dyDescent="0.25">
      <c r="A79" t="str">
        <f t="shared" si="2"/>
        <v>BW</v>
      </c>
      <c r="B79" t="s">
        <v>320</v>
      </c>
      <c r="D79" t="s">
        <v>338</v>
      </c>
    </row>
    <row r="80" spans="1:4" x14ac:dyDescent="0.25">
      <c r="A80" t="str">
        <f t="shared" si="2"/>
        <v>BX</v>
      </c>
      <c r="B80" t="s">
        <v>321</v>
      </c>
      <c r="D80" t="s">
        <v>339</v>
      </c>
    </row>
  </sheetData>
  <mergeCells count="76">
    <mergeCell ref="A2:A3"/>
    <mergeCell ref="B2:C2"/>
    <mergeCell ref="D2:D3"/>
    <mergeCell ref="B1:D1"/>
    <mergeCell ref="E1:G1"/>
    <mergeCell ref="E2:F2"/>
    <mergeCell ref="G2:G3"/>
    <mergeCell ref="H1:J1"/>
    <mergeCell ref="H2:I2"/>
    <mergeCell ref="J2:J3"/>
    <mergeCell ref="K1:M1"/>
    <mergeCell ref="K2:L2"/>
    <mergeCell ref="M2:M3"/>
    <mergeCell ref="N1:P1"/>
    <mergeCell ref="N2:O2"/>
    <mergeCell ref="P2:P3"/>
    <mergeCell ref="Q1:S1"/>
    <mergeCell ref="Q2:R2"/>
    <mergeCell ref="S2:S3"/>
    <mergeCell ref="T1:V1"/>
    <mergeCell ref="T2:U2"/>
    <mergeCell ref="V2:V3"/>
    <mergeCell ref="W1:Y1"/>
    <mergeCell ref="W2:X2"/>
    <mergeCell ref="Y2:Y3"/>
    <mergeCell ref="Z1:AB1"/>
    <mergeCell ref="Z2:AA2"/>
    <mergeCell ref="AB2:AB3"/>
    <mergeCell ref="AC1:AE1"/>
    <mergeCell ref="AC2:AD2"/>
    <mergeCell ref="AE2:AE3"/>
    <mergeCell ref="AF1:AH1"/>
    <mergeCell ref="AF2:AG2"/>
    <mergeCell ref="AH2:AH3"/>
    <mergeCell ref="AI1:AK1"/>
    <mergeCell ref="AI2:AJ2"/>
    <mergeCell ref="AK2:AK3"/>
    <mergeCell ref="AL1:AN1"/>
    <mergeCell ref="AL2:AM2"/>
    <mergeCell ref="AN2:AN3"/>
    <mergeCell ref="AO1:AQ1"/>
    <mergeCell ref="AO2:AP2"/>
    <mergeCell ref="AQ2:AQ3"/>
    <mergeCell ref="AR1:AT1"/>
    <mergeCell ref="AR2:AS2"/>
    <mergeCell ref="AT2:AT3"/>
    <mergeCell ref="AU1:AW1"/>
    <mergeCell ref="AX1:AZ1"/>
    <mergeCell ref="AU2:AV2"/>
    <mergeCell ref="AW2:AW3"/>
    <mergeCell ref="AX2:AY2"/>
    <mergeCell ref="AZ2:AZ3"/>
    <mergeCell ref="BA2:BB2"/>
    <mergeCell ref="BC2:BC3"/>
    <mergeCell ref="BD1:BF1"/>
    <mergeCell ref="BG1:BI1"/>
    <mergeCell ref="BJ1:BL1"/>
    <mergeCell ref="BD2:BE2"/>
    <mergeCell ref="BF2:BF3"/>
    <mergeCell ref="BG2:BH2"/>
    <mergeCell ref="BI2:BI3"/>
    <mergeCell ref="BJ2:BK2"/>
    <mergeCell ref="BA1:BC1"/>
    <mergeCell ref="BV1:BX1"/>
    <mergeCell ref="BV2:BW2"/>
    <mergeCell ref="BX2:BX3"/>
    <mergeCell ref="BL2:BL3"/>
    <mergeCell ref="BM1:BO1"/>
    <mergeCell ref="BP1:BR1"/>
    <mergeCell ref="BS1:BU1"/>
    <mergeCell ref="BM2:BN2"/>
    <mergeCell ref="BO2:BO3"/>
    <mergeCell ref="BP2:BQ2"/>
    <mergeCell ref="BR2:BR3"/>
    <mergeCell ref="BS2:BT2"/>
    <mergeCell ref="BU2:BU3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1"/>
  <dimension ref="B1:F76"/>
  <sheetViews>
    <sheetView workbookViewId="0">
      <selection activeCell="K10" sqref="K10"/>
    </sheetView>
  </sheetViews>
  <sheetFormatPr defaultRowHeight="15" x14ac:dyDescent="0.25"/>
  <cols>
    <col min="3" max="3" width="10.7109375" bestFit="1" customWidth="1"/>
    <col min="4" max="4" width="11.42578125" customWidth="1"/>
  </cols>
  <sheetData>
    <row r="1" spans="2:6" x14ac:dyDescent="0.25">
      <c r="B1" t="s">
        <v>244</v>
      </c>
      <c r="C1" t="s">
        <v>392</v>
      </c>
      <c r="D1" t="s">
        <v>393</v>
      </c>
    </row>
    <row r="2" spans="2:6" x14ac:dyDescent="0.25">
      <c r="B2" t="s">
        <v>241</v>
      </c>
      <c r="C2" t="str">
        <f t="shared" ref="C2:C36" si="0">CONCATENATE("{point:",F2,"}")</f>
        <v>{point:158}</v>
      </c>
      <c r="D2" t="s">
        <v>394</v>
      </c>
      <c r="F2">
        <v>158</v>
      </c>
    </row>
    <row r="3" spans="2:6" x14ac:dyDescent="0.25">
      <c r="B3" t="s">
        <v>242</v>
      </c>
      <c r="C3" t="str">
        <f t="shared" si="0"/>
        <v>{point:160}</v>
      </c>
      <c r="D3" t="s">
        <v>394</v>
      </c>
      <c r="F3">
        <v>160</v>
      </c>
    </row>
    <row r="4" spans="2:6" x14ac:dyDescent="0.25">
      <c r="B4" t="s">
        <v>243</v>
      </c>
      <c r="C4" t="str">
        <f t="shared" si="0"/>
        <v>{point:205}</v>
      </c>
      <c r="D4" t="s">
        <v>394</v>
      </c>
      <c r="F4">
        <v>205</v>
      </c>
    </row>
    <row r="5" spans="2:6" x14ac:dyDescent="0.25">
      <c r="B5" t="s">
        <v>170</v>
      </c>
      <c r="C5" t="str">
        <f t="shared" si="0"/>
        <v>{point:206}</v>
      </c>
      <c r="D5" t="s">
        <v>394</v>
      </c>
      <c r="F5">
        <v>206</v>
      </c>
    </row>
    <row r="6" spans="2:6" x14ac:dyDescent="0.25">
      <c r="B6" t="s">
        <v>323</v>
      </c>
      <c r="C6" t="str">
        <f t="shared" si="0"/>
        <v>{point:195}</v>
      </c>
      <c r="D6" t="s">
        <v>394</v>
      </c>
      <c r="F6" s="26">
        <v>195</v>
      </c>
    </row>
    <row r="7" spans="2:6" x14ac:dyDescent="0.25">
      <c r="B7" t="s">
        <v>324</v>
      </c>
      <c r="C7" t="str">
        <f t="shared" si="0"/>
        <v>{point:196}</v>
      </c>
      <c r="D7" t="s">
        <v>394</v>
      </c>
      <c r="F7" s="25">
        <v>196</v>
      </c>
    </row>
    <row r="8" spans="2:6" x14ac:dyDescent="0.25">
      <c r="B8" t="s">
        <v>325</v>
      </c>
      <c r="C8" t="str">
        <f t="shared" si="0"/>
        <v>{point:197}</v>
      </c>
      <c r="D8" t="s">
        <v>394</v>
      </c>
      <c r="F8" s="26">
        <v>197</v>
      </c>
    </row>
    <row r="9" spans="2:6" x14ac:dyDescent="0.25">
      <c r="B9" t="s">
        <v>326</v>
      </c>
      <c r="C9" t="str">
        <f t="shared" si="0"/>
        <v>{point:198}</v>
      </c>
      <c r="D9" t="s">
        <v>394</v>
      </c>
      <c r="F9" s="25">
        <v>198</v>
      </c>
    </row>
    <row r="10" spans="2:6" x14ac:dyDescent="0.25">
      <c r="B10" t="s">
        <v>327</v>
      </c>
      <c r="C10" t="str">
        <f t="shared" si="0"/>
        <v>{point:199}</v>
      </c>
      <c r="D10" t="s">
        <v>394</v>
      </c>
      <c r="F10" s="26">
        <v>199</v>
      </c>
    </row>
    <row r="11" spans="2:6" x14ac:dyDescent="0.25">
      <c r="B11" t="s">
        <v>328</v>
      </c>
      <c r="C11" t="str">
        <f t="shared" si="0"/>
        <v>{point:200}</v>
      </c>
      <c r="D11" t="s">
        <v>394</v>
      </c>
      <c r="F11" s="25">
        <v>200</v>
      </c>
    </row>
    <row r="12" spans="2:6" x14ac:dyDescent="0.25">
      <c r="B12" t="s">
        <v>329</v>
      </c>
      <c r="C12" t="str">
        <f t="shared" si="0"/>
        <v>{point:201}</v>
      </c>
      <c r="D12" t="s">
        <v>394</v>
      </c>
      <c r="F12" s="26">
        <v>201</v>
      </c>
    </row>
    <row r="13" spans="2:6" x14ac:dyDescent="0.25">
      <c r="B13" t="s">
        <v>330</v>
      </c>
      <c r="C13" t="str">
        <f t="shared" si="0"/>
        <v>{point:202}</v>
      </c>
      <c r="D13" t="s">
        <v>394</v>
      </c>
      <c r="F13" s="25">
        <v>202</v>
      </c>
    </row>
    <row r="14" spans="2:6" x14ac:dyDescent="0.25">
      <c r="B14" t="s">
        <v>331</v>
      </c>
      <c r="C14" t="str">
        <f t="shared" si="0"/>
        <v>{point:203}</v>
      </c>
      <c r="D14" t="s">
        <v>394</v>
      </c>
      <c r="F14" s="26">
        <v>203</v>
      </c>
    </row>
    <row r="15" spans="2:6" x14ac:dyDescent="0.25">
      <c r="B15" t="s">
        <v>332</v>
      </c>
      <c r="C15" t="str">
        <f t="shared" si="0"/>
        <v>{point:204}</v>
      </c>
      <c r="D15" t="s">
        <v>394</v>
      </c>
      <c r="F15" s="25">
        <v>204</v>
      </c>
    </row>
    <row r="16" spans="2:6" x14ac:dyDescent="0.25">
      <c r="B16" t="s">
        <v>333</v>
      </c>
      <c r="C16" t="str">
        <f t="shared" si="0"/>
        <v>{point:207}</v>
      </c>
      <c r="D16" t="s">
        <v>394</v>
      </c>
      <c r="F16" s="26">
        <v>207</v>
      </c>
    </row>
    <row r="17" spans="2:6" x14ac:dyDescent="0.25">
      <c r="B17" t="s">
        <v>168</v>
      </c>
      <c r="C17" t="str">
        <f t="shared" si="0"/>
        <v>{point:208}</v>
      </c>
      <c r="D17" t="s">
        <v>394</v>
      </c>
      <c r="F17" s="25">
        <v>208</v>
      </c>
    </row>
    <row r="18" spans="2:6" x14ac:dyDescent="0.25">
      <c r="B18" t="s">
        <v>334</v>
      </c>
      <c r="C18" t="str">
        <f t="shared" si="0"/>
        <v>{point:209}</v>
      </c>
      <c r="D18" t="s">
        <v>394</v>
      </c>
      <c r="F18" s="26">
        <v>209</v>
      </c>
    </row>
    <row r="19" spans="2:6" x14ac:dyDescent="0.25">
      <c r="B19" t="s">
        <v>335</v>
      </c>
      <c r="C19" t="str">
        <f t="shared" si="0"/>
        <v>{point:210}</v>
      </c>
      <c r="D19" t="s">
        <v>394</v>
      </c>
      <c r="F19" s="25">
        <v>210</v>
      </c>
    </row>
    <row r="20" spans="2:6" x14ac:dyDescent="0.25">
      <c r="B20" t="s">
        <v>165</v>
      </c>
      <c r="C20" t="str">
        <f t="shared" si="0"/>
        <v>{point:211}</v>
      </c>
      <c r="D20" t="s">
        <v>394</v>
      </c>
      <c r="F20" s="26">
        <v>211</v>
      </c>
    </row>
    <row r="21" spans="2:6" x14ac:dyDescent="0.25">
      <c r="B21" t="s">
        <v>336</v>
      </c>
      <c r="C21" t="str">
        <f t="shared" si="0"/>
        <v>{point:212}</v>
      </c>
      <c r="D21" t="s">
        <v>394</v>
      </c>
      <c r="F21" s="25">
        <v>212</v>
      </c>
    </row>
    <row r="22" spans="2:6" x14ac:dyDescent="0.25">
      <c r="B22" t="s">
        <v>337</v>
      </c>
      <c r="C22" t="str">
        <f t="shared" si="0"/>
        <v>{point:213}</v>
      </c>
      <c r="D22" t="s">
        <v>394</v>
      </c>
      <c r="F22" s="26">
        <v>213</v>
      </c>
    </row>
    <row r="23" spans="2:6" x14ac:dyDescent="0.25">
      <c r="B23" t="s">
        <v>338</v>
      </c>
      <c r="C23" t="str">
        <f t="shared" si="0"/>
        <v>{point:214}</v>
      </c>
      <c r="D23" t="s">
        <v>394</v>
      </c>
      <c r="F23" s="25">
        <v>214</v>
      </c>
    </row>
    <row r="24" spans="2:6" x14ac:dyDescent="0.25">
      <c r="B24" t="s">
        <v>339</v>
      </c>
      <c r="C24" t="str">
        <f t="shared" si="0"/>
        <v>{point:215}</v>
      </c>
      <c r="D24" t="s">
        <v>394</v>
      </c>
      <c r="F24" s="26">
        <v>215</v>
      </c>
    </row>
    <row r="25" spans="2:6" x14ac:dyDescent="0.25">
      <c r="B25" t="s">
        <v>340</v>
      </c>
      <c r="C25" t="str">
        <f t="shared" si="0"/>
        <v>{point:216}</v>
      </c>
      <c r="D25" t="s">
        <v>394</v>
      </c>
      <c r="F25" s="25">
        <v>216</v>
      </c>
    </row>
    <row r="26" spans="2:6" x14ac:dyDescent="0.25">
      <c r="B26" t="s">
        <v>341</v>
      </c>
      <c r="C26" t="str">
        <f t="shared" si="0"/>
        <v>{point:217}</v>
      </c>
      <c r="D26" t="s">
        <v>394</v>
      </c>
      <c r="F26" s="26">
        <v>217</v>
      </c>
    </row>
    <row r="27" spans="2:6" x14ac:dyDescent="0.25">
      <c r="B27" t="s">
        <v>342</v>
      </c>
      <c r="C27" t="str">
        <f t="shared" si="0"/>
        <v>{point:218}</v>
      </c>
      <c r="D27" t="s">
        <v>394</v>
      </c>
      <c r="F27" s="25">
        <v>218</v>
      </c>
    </row>
    <row r="28" spans="2:6" x14ac:dyDescent="0.25">
      <c r="B28" t="s">
        <v>343</v>
      </c>
      <c r="C28" t="str">
        <f t="shared" si="0"/>
        <v>{point:221}</v>
      </c>
      <c r="D28" t="s">
        <v>394</v>
      </c>
      <c r="F28" s="26">
        <v>221</v>
      </c>
    </row>
    <row r="29" spans="2:6" x14ac:dyDescent="0.25">
      <c r="B29" t="s">
        <v>344</v>
      </c>
      <c r="C29" t="str">
        <f t="shared" si="0"/>
        <v>{point:222}</v>
      </c>
      <c r="D29" t="s">
        <v>394</v>
      </c>
      <c r="F29" s="25">
        <v>222</v>
      </c>
    </row>
    <row r="30" spans="2:6" x14ac:dyDescent="0.25">
      <c r="B30" t="s">
        <v>345</v>
      </c>
      <c r="C30" t="str">
        <f t="shared" si="0"/>
        <v>{point:223}</v>
      </c>
      <c r="D30" t="s">
        <v>394</v>
      </c>
      <c r="F30" s="26">
        <v>223</v>
      </c>
    </row>
    <row r="31" spans="2:6" x14ac:dyDescent="0.25">
      <c r="B31" t="s">
        <v>346</v>
      </c>
      <c r="C31" t="str">
        <f t="shared" si="0"/>
        <v>{point:224}</v>
      </c>
      <c r="D31" t="s">
        <v>394</v>
      </c>
      <c r="F31" s="25">
        <v>224</v>
      </c>
    </row>
    <row r="32" spans="2:6" x14ac:dyDescent="0.25">
      <c r="B32" t="s">
        <v>347</v>
      </c>
      <c r="C32" t="str">
        <f t="shared" si="0"/>
        <v>{point:225}</v>
      </c>
      <c r="D32" t="s">
        <v>394</v>
      </c>
      <c r="F32" s="26">
        <v>225</v>
      </c>
    </row>
    <row r="33" spans="2:6" x14ac:dyDescent="0.25">
      <c r="B33" t="s">
        <v>348</v>
      </c>
      <c r="C33" t="str">
        <f t="shared" si="0"/>
        <v>{point:226}</v>
      </c>
      <c r="D33" t="s">
        <v>394</v>
      </c>
      <c r="F33" s="25">
        <v>226</v>
      </c>
    </row>
    <row r="34" spans="2:6" x14ac:dyDescent="0.25">
      <c r="B34" t="s">
        <v>349</v>
      </c>
      <c r="C34" t="str">
        <f t="shared" si="0"/>
        <v>{point:227}</v>
      </c>
      <c r="D34" t="s">
        <v>394</v>
      </c>
      <c r="F34" s="26">
        <v>227</v>
      </c>
    </row>
    <row r="35" spans="2:6" x14ac:dyDescent="0.25">
      <c r="B35" t="s">
        <v>350</v>
      </c>
      <c r="C35" t="str">
        <f t="shared" si="0"/>
        <v>{point:228}</v>
      </c>
      <c r="D35" t="s">
        <v>394</v>
      </c>
      <c r="F35" s="25">
        <v>228</v>
      </c>
    </row>
    <row r="36" spans="2:6" x14ac:dyDescent="0.25">
      <c r="B36" t="s">
        <v>351</v>
      </c>
      <c r="C36" t="str">
        <f t="shared" si="0"/>
        <v>{point:229}</v>
      </c>
      <c r="D36" t="s">
        <v>394</v>
      </c>
      <c r="F36" s="26">
        <v>229</v>
      </c>
    </row>
    <row r="37" spans="2:6" x14ac:dyDescent="0.25">
      <c r="B37" t="s">
        <v>352</v>
      </c>
      <c r="C37" t="s">
        <v>282</v>
      </c>
      <c r="D37" t="s">
        <v>394</v>
      </c>
    </row>
    <row r="38" spans="2:6" x14ac:dyDescent="0.25">
      <c r="B38" t="s">
        <v>353</v>
      </c>
      <c r="C38" t="s">
        <v>283</v>
      </c>
      <c r="D38" t="s">
        <v>394</v>
      </c>
    </row>
    <row r="39" spans="2:6" x14ac:dyDescent="0.25">
      <c r="B39" t="s">
        <v>354</v>
      </c>
      <c r="C39" t="s">
        <v>284</v>
      </c>
      <c r="D39" t="s">
        <v>394</v>
      </c>
    </row>
    <row r="40" spans="2:6" x14ac:dyDescent="0.25">
      <c r="B40" t="s">
        <v>355</v>
      </c>
      <c r="C40" t="s">
        <v>285</v>
      </c>
      <c r="D40" t="s">
        <v>394</v>
      </c>
    </row>
    <row r="41" spans="2:6" x14ac:dyDescent="0.25">
      <c r="B41" t="s">
        <v>356</v>
      </c>
      <c r="C41" t="s">
        <v>286</v>
      </c>
      <c r="D41" t="s">
        <v>394</v>
      </c>
    </row>
    <row r="42" spans="2:6" x14ac:dyDescent="0.25">
      <c r="B42" t="s">
        <v>357</v>
      </c>
      <c r="C42" t="s">
        <v>287</v>
      </c>
      <c r="D42" t="s">
        <v>394</v>
      </c>
    </row>
    <row r="43" spans="2:6" x14ac:dyDescent="0.25">
      <c r="B43" t="s">
        <v>358</v>
      </c>
      <c r="C43" t="s">
        <v>288</v>
      </c>
      <c r="D43" t="s">
        <v>394</v>
      </c>
    </row>
    <row r="44" spans="2:6" x14ac:dyDescent="0.25">
      <c r="B44" t="s">
        <v>359</v>
      </c>
      <c r="C44" t="s">
        <v>289</v>
      </c>
      <c r="D44" t="s">
        <v>394</v>
      </c>
    </row>
    <row r="45" spans="2:6" x14ac:dyDescent="0.25">
      <c r="B45" t="s">
        <v>360</v>
      </c>
      <c r="C45" t="s">
        <v>290</v>
      </c>
      <c r="D45" t="s">
        <v>394</v>
      </c>
    </row>
    <row r="46" spans="2:6" x14ac:dyDescent="0.25">
      <c r="B46" t="s">
        <v>361</v>
      </c>
      <c r="C46" t="s">
        <v>291</v>
      </c>
      <c r="D46" t="s">
        <v>394</v>
      </c>
    </row>
    <row r="47" spans="2:6" x14ac:dyDescent="0.25">
      <c r="B47" t="s">
        <v>362</v>
      </c>
      <c r="C47" t="s">
        <v>292</v>
      </c>
      <c r="D47" t="s">
        <v>394</v>
      </c>
    </row>
    <row r="48" spans="2:6" x14ac:dyDescent="0.25">
      <c r="B48" t="s">
        <v>363</v>
      </c>
      <c r="C48" t="s">
        <v>293</v>
      </c>
      <c r="D48" t="s">
        <v>394</v>
      </c>
    </row>
    <row r="49" spans="2:4" x14ac:dyDescent="0.25">
      <c r="B49" t="s">
        <v>364</v>
      </c>
      <c r="C49" t="s">
        <v>294</v>
      </c>
      <c r="D49" t="s">
        <v>394</v>
      </c>
    </row>
    <row r="50" spans="2:4" x14ac:dyDescent="0.25">
      <c r="B50" t="s">
        <v>365</v>
      </c>
      <c r="C50" t="s">
        <v>295</v>
      </c>
      <c r="D50" t="s">
        <v>394</v>
      </c>
    </row>
    <row r="51" spans="2:4" x14ac:dyDescent="0.25">
      <c r="B51" t="s">
        <v>366</v>
      </c>
      <c r="C51" t="s">
        <v>296</v>
      </c>
      <c r="D51" t="s">
        <v>394</v>
      </c>
    </row>
    <row r="52" spans="2:4" x14ac:dyDescent="0.25">
      <c r="B52" t="s">
        <v>367</v>
      </c>
      <c r="C52" t="s">
        <v>297</v>
      </c>
      <c r="D52" t="s">
        <v>394</v>
      </c>
    </row>
    <row r="53" spans="2:4" x14ac:dyDescent="0.25">
      <c r="B53" t="s">
        <v>368</v>
      </c>
      <c r="C53" t="s">
        <v>298</v>
      </c>
      <c r="D53" t="s">
        <v>394</v>
      </c>
    </row>
    <row r="54" spans="2:4" x14ac:dyDescent="0.25">
      <c r="B54" t="s">
        <v>369</v>
      </c>
      <c r="C54" t="s">
        <v>299</v>
      </c>
      <c r="D54" t="s">
        <v>394</v>
      </c>
    </row>
    <row r="55" spans="2:4" x14ac:dyDescent="0.25">
      <c r="B55" t="s">
        <v>370</v>
      </c>
      <c r="C55" t="s">
        <v>300</v>
      </c>
      <c r="D55" t="s">
        <v>394</v>
      </c>
    </row>
    <row r="56" spans="2:4" x14ac:dyDescent="0.25">
      <c r="B56" t="s">
        <v>371</v>
      </c>
      <c r="C56" t="s">
        <v>301</v>
      </c>
      <c r="D56" t="s">
        <v>394</v>
      </c>
    </row>
    <row r="57" spans="2:4" x14ac:dyDescent="0.25">
      <c r="B57" t="s">
        <v>372</v>
      </c>
      <c r="C57" t="s">
        <v>302</v>
      </c>
      <c r="D57" t="s">
        <v>394</v>
      </c>
    </row>
    <row r="58" spans="2:4" x14ac:dyDescent="0.25">
      <c r="B58" t="s">
        <v>373</v>
      </c>
      <c r="C58" t="s">
        <v>303</v>
      </c>
      <c r="D58" t="s">
        <v>394</v>
      </c>
    </row>
    <row r="59" spans="2:4" x14ac:dyDescent="0.25">
      <c r="B59" t="s">
        <v>374</v>
      </c>
      <c r="C59" t="s">
        <v>304</v>
      </c>
      <c r="D59" t="s">
        <v>394</v>
      </c>
    </row>
    <row r="60" spans="2:4" x14ac:dyDescent="0.25">
      <c r="B60" t="s">
        <v>375</v>
      </c>
      <c r="C60" t="s">
        <v>305</v>
      </c>
      <c r="D60" t="s">
        <v>394</v>
      </c>
    </row>
    <row r="61" spans="2:4" x14ac:dyDescent="0.25">
      <c r="B61" t="s">
        <v>376</v>
      </c>
      <c r="C61" t="s">
        <v>306</v>
      </c>
      <c r="D61" t="s">
        <v>394</v>
      </c>
    </row>
    <row r="62" spans="2:4" x14ac:dyDescent="0.25">
      <c r="B62" t="s">
        <v>377</v>
      </c>
      <c r="C62" t="s">
        <v>307</v>
      </c>
      <c r="D62" t="s">
        <v>394</v>
      </c>
    </row>
    <row r="63" spans="2:4" x14ac:dyDescent="0.25">
      <c r="B63" t="s">
        <v>378</v>
      </c>
      <c r="C63" t="s">
        <v>308</v>
      </c>
      <c r="D63" t="s">
        <v>394</v>
      </c>
    </row>
    <row r="64" spans="2:4" x14ac:dyDescent="0.25">
      <c r="B64" t="s">
        <v>379</v>
      </c>
      <c r="C64" t="s">
        <v>309</v>
      </c>
      <c r="D64" t="s">
        <v>394</v>
      </c>
    </row>
    <row r="65" spans="2:4" x14ac:dyDescent="0.25">
      <c r="B65" t="s">
        <v>380</v>
      </c>
      <c r="C65" t="s">
        <v>310</v>
      </c>
      <c r="D65" t="s">
        <v>394</v>
      </c>
    </row>
    <row r="66" spans="2:4" x14ac:dyDescent="0.25">
      <c r="B66" t="s">
        <v>381</v>
      </c>
      <c r="C66" t="s">
        <v>311</v>
      </c>
      <c r="D66" t="s">
        <v>394</v>
      </c>
    </row>
    <row r="67" spans="2:4" x14ac:dyDescent="0.25">
      <c r="B67" t="s">
        <v>382</v>
      </c>
      <c r="C67" t="s">
        <v>312</v>
      </c>
      <c r="D67" t="s">
        <v>394</v>
      </c>
    </row>
    <row r="68" spans="2:4" x14ac:dyDescent="0.25">
      <c r="B68" t="s">
        <v>383</v>
      </c>
      <c r="C68" t="s">
        <v>313</v>
      </c>
      <c r="D68" t="s">
        <v>394</v>
      </c>
    </row>
    <row r="69" spans="2:4" x14ac:dyDescent="0.25">
      <c r="B69" t="s">
        <v>384</v>
      </c>
      <c r="C69" t="s">
        <v>314</v>
      </c>
      <c r="D69" t="s">
        <v>394</v>
      </c>
    </row>
    <row r="70" spans="2:4" x14ac:dyDescent="0.25">
      <c r="B70" t="s">
        <v>385</v>
      </c>
      <c r="C70" t="s">
        <v>315</v>
      </c>
      <c r="D70" t="s">
        <v>394</v>
      </c>
    </row>
    <row r="71" spans="2:4" x14ac:dyDescent="0.25">
      <c r="B71" t="s">
        <v>386</v>
      </c>
      <c r="C71" t="s">
        <v>316</v>
      </c>
      <c r="D71" t="s">
        <v>394</v>
      </c>
    </row>
    <row r="72" spans="2:4" x14ac:dyDescent="0.25">
      <c r="B72" t="s">
        <v>387</v>
      </c>
      <c r="C72" t="s">
        <v>317</v>
      </c>
      <c r="D72" t="s">
        <v>394</v>
      </c>
    </row>
    <row r="73" spans="2:4" x14ac:dyDescent="0.25">
      <c r="B73" t="s">
        <v>388</v>
      </c>
      <c r="C73" t="s">
        <v>318</v>
      </c>
      <c r="D73" t="s">
        <v>394</v>
      </c>
    </row>
    <row r="74" spans="2:4" x14ac:dyDescent="0.25">
      <c r="B74" t="s">
        <v>389</v>
      </c>
      <c r="C74" t="s">
        <v>319</v>
      </c>
      <c r="D74" t="s">
        <v>394</v>
      </c>
    </row>
    <row r="75" spans="2:4" x14ac:dyDescent="0.25">
      <c r="B75" t="s">
        <v>390</v>
      </c>
      <c r="C75" t="s">
        <v>320</v>
      </c>
      <c r="D75" t="s">
        <v>394</v>
      </c>
    </row>
    <row r="76" spans="2:4" x14ac:dyDescent="0.25">
      <c r="B76" t="s">
        <v>391</v>
      </c>
      <c r="C76" t="s">
        <v>321</v>
      </c>
      <c r="D76" t="s">
        <v>394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Кнопка1_Щелчок">
                <anchor moveWithCells="1" sizeWithCells="1">
                  <from>
                    <xdr:col>6</xdr:col>
                    <xdr:colOff>28575</xdr:colOff>
                    <xdr:row>1</xdr:row>
                    <xdr:rowOff>0</xdr:rowOff>
                  </from>
                  <to>
                    <xdr:col>7</xdr:col>
                    <xdr:colOff>9525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Range_separate_copyto_clipboard">
                <anchor moveWithCells="1" sizeWithCells="1">
                  <from>
                    <xdr:col>7</xdr:col>
                    <xdr:colOff>438150</xdr:colOff>
                    <xdr:row>1</xdr:row>
                    <xdr:rowOff>66675</xdr:rowOff>
                  </from>
                  <to>
                    <xdr:col>9</xdr:col>
                    <xdr:colOff>0</xdr:colOff>
                    <xdr:row>2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3:F6"/>
  <sheetViews>
    <sheetView workbookViewId="0">
      <selection activeCell="A4" sqref="A4"/>
    </sheetView>
  </sheetViews>
  <sheetFormatPr defaultRowHeight="15" x14ac:dyDescent="0.25"/>
  <cols>
    <col min="1" max="1" width="50.28515625" customWidth="1"/>
    <col min="3" max="3" width="9.85546875" customWidth="1"/>
    <col min="5" max="5" width="10.140625" customWidth="1"/>
    <col min="6" max="6" width="10.28515625" customWidth="1"/>
  </cols>
  <sheetData>
    <row r="3" spans="1:6" x14ac:dyDescent="0.25">
      <c r="A3" t="s">
        <v>592</v>
      </c>
      <c r="B3" t="s">
        <v>593</v>
      </c>
      <c r="C3" t="s">
        <v>594</v>
      </c>
      <c r="D3" t="s">
        <v>595</v>
      </c>
      <c r="E3" t="s">
        <v>596</v>
      </c>
      <c r="F3" t="s">
        <v>597</v>
      </c>
    </row>
    <row r="4" spans="1:6" x14ac:dyDescent="0.25">
      <c r="A4" t="s">
        <v>598</v>
      </c>
      <c r="B4">
        <v>906021</v>
      </c>
      <c r="C4">
        <v>7</v>
      </c>
      <c r="D4">
        <v>157</v>
      </c>
    </row>
    <row r="5" spans="1:6" x14ac:dyDescent="0.25">
      <c r="A5" t="s">
        <v>598</v>
      </c>
      <c r="B5">
        <v>906021</v>
      </c>
      <c r="C5">
        <v>6</v>
      </c>
      <c r="D5">
        <v>161</v>
      </c>
    </row>
    <row r="6" spans="1:6" x14ac:dyDescent="0.25">
      <c r="A6" t="s">
        <v>598</v>
      </c>
      <c r="B6">
        <v>906021</v>
      </c>
      <c r="C6">
        <v>9</v>
      </c>
      <c r="D6">
        <v>162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Кнопка1_Щелчок">
                <anchor moveWithCells="1" sizeWithCells="1">
                  <from>
                    <xdr:col>0</xdr:col>
                    <xdr:colOff>28575</xdr:colOff>
                    <xdr:row>0</xdr:row>
                    <xdr:rowOff>9525</xdr:rowOff>
                  </from>
                  <to>
                    <xdr:col>6</xdr:col>
                    <xdr:colOff>0</xdr:colOff>
                    <xdr:row>1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11</vt:i4>
      </vt:variant>
    </vt:vector>
  </HeadingPairs>
  <TitlesOfParts>
    <vt:vector size="11" baseType="lpstr">
      <vt:lpstr>db-points</vt:lpstr>
      <vt:lpstr>roles</vt:lpstr>
      <vt:lpstr>di-states</vt:lpstr>
      <vt:lpstr>profiles</vt:lpstr>
      <vt:lpstr>users</vt:lpstr>
      <vt:lpstr>functions</vt:lpstr>
      <vt:lpstr>form1</vt:lpstr>
      <vt:lpstr>table1</vt:lpstr>
      <vt:lpstr>table1 (2)</vt:lpstr>
      <vt:lpstr>Лист3</vt:lpstr>
      <vt:lpstr>ASK2-&gt;API</vt:lpstr>
    </vt:vector>
  </TitlesOfParts>
  <Company>SPecialiST RePack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</dc:creator>
  <cp:lastModifiedBy>HP</cp:lastModifiedBy>
  <dcterms:created xsi:type="dcterms:W3CDTF">2021-11-10T18:12:51Z</dcterms:created>
  <dcterms:modified xsi:type="dcterms:W3CDTF">2022-08-19T07:49:35Z</dcterms:modified>
</cp:coreProperties>
</file>