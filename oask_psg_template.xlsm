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60" windowWidth="23040" windowHeight="9135" activeTab="1"/>
  </bookViews>
  <sheets>
    <sheet name="data" sheetId="1" r:id="rId1"/>
    <sheet name="template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7" i="2" l="1"/>
  <c r="N37" i="2" s="1"/>
  <c r="M36" i="2"/>
  <c r="N36" i="2" s="1"/>
  <c r="M35" i="2"/>
  <c r="N35" i="2" s="1"/>
  <c r="M34" i="2"/>
  <c r="N34" i="2" s="1"/>
  <c r="M33" i="2"/>
  <c r="N33" i="2" s="1"/>
  <c r="M32" i="2"/>
  <c r="N32" i="2" s="1"/>
  <c r="M31" i="2"/>
  <c r="N31" i="2" s="1"/>
  <c r="M30" i="2"/>
  <c r="N30" i="2" s="1"/>
  <c r="M29" i="2"/>
  <c r="N29" i="2" s="1"/>
  <c r="M28" i="2"/>
  <c r="N28" i="2" s="1"/>
  <c r="M27" i="2"/>
  <c r="N27" i="2" s="1"/>
  <c r="M26" i="2"/>
  <c r="N26" i="2" s="1"/>
  <c r="M25" i="2"/>
  <c r="N25" i="2" s="1"/>
  <c r="M24" i="2"/>
  <c r="N24" i="2" s="1"/>
  <c r="M23" i="2"/>
  <c r="N23" i="2" s="1"/>
  <c r="M22" i="2"/>
  <c r="N22" i="2" s="1"/>
  <c r="M21" i="2"/>
  <c r="N21" i="2" s="1"/>
  <c r="M20" i="2"/>
  <c r="N20" i="2" s="1"/>
  <c r="M19" i="2"/>
  <c r="N19" i="2" s="1"/>
  <c r="M18" i="2"/>
  <c r="N18" i="2" s="1"/>
  <c r="M17" i="2"/>
  <c r="N17" i="2" s="1"/>
  <c r="M16" i="2"/>
  <c r="N16" i="2" s="1"/>
  <c r="M15" i="2"/>
  <c r="N15" i="2" s="1"/>
  <c r="M14" i="2"/>
  <c r="N14" i="2" s="1"/>
  <c r="M13" i="2"/>
  <c r="N13" i="2" s="1"/>
  <c r="M12" i="2"/>
  <c r="N12" i="2" s="1"/>
  <c r="M11" i="2"/>
  <c r="N11" i="2" s="1"/>
  <c r="M10" i="2"/>
  <c r="N10" i="2" s="1"/>
  <c r="M9" i="2"/>
  <c r="N9" i="2" s="1"/>
  <c r="M8" i="2"/>
  <c r="N8" i="2" s="1"/>
  <c r="M62" i="2"/>
  <c r="N62" i="2" s="1"/>
  <c r="M61" i="2"/>
  <c r="N61" i="2" s="1"/>
  <c r="M60" i="2"/>
  <c r="N60" i="2" s="1"/>
  <c r="M59" i="2"/>
  <c r="N59" i="2" s="1"/>
  <c r="M58" i="2"/>
  <c r="N58" i="2" s="1"/>
  <c r="M57" i="2"/>
  <c r="N57" i="2" s="1"/>
  <c r="M56" i="2"/>
  <c r="N56" i="2" s="1"/>
  <c r="M55" i="2"/>
  <c r="N55" i="2" s="1"/>
  <c r="M54" i="2"/>
  <c r="N54" i="2" s="1"/>
  <c r="M53" i="2"/>
  <c r="N53" i="2" s="1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63" i="2"/>
  <c r="N64" i="2"/>
  <c r="N65" i="2"/>
  <c r="N66" i="2"/>
  <c r="N67" i="2"/>
  <c r="N68" i="2"/>
  <c r="N69" i="2"/>
  <c r="N70" i="2"/>
  <c r="N71" i="2"/>
  <c r="N72" i="2"/>
  <c r="N38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63" i="2"/>
  <c r="M64" i="2"/>
  <c r="M65" i="2"/>
  <c r="M66" i="2"/>
  <c r="M67" i="2"/>
  <c r="M68" i="2"/>
  <c r="M69" i="2"/>
  <c r="M70" i="2"/>
  <c r="M71" i="2"/>
  <c r="M72" i="2"/>
  <c r="N2" i="2"/>
  <c r="N3" i="2"/>
  <c r="N4" i="2"/>
</calcChain>
</file>

<file path=xl/connections.xml><?xml version="1.0" encoding="utf-8"?>
<connections xmlns="http://schemas.openxmlformats.org/spreadsheetml/2006/main">
  <connection id="1" name="docs" type="4" refreshedVersion="0" background="1">
    <webPr xml="1" sourceData="1" url="http://localhost:3000/docs" htmlTables="1" htmlFormat="all"/>
  </connection>
  <connection id="2" name="docs1" type="4" refreshedVersion="0" background="1">
    <webPr xml="1" sourceData="1" url="http://localhost:3000/templates/OGU.PROLETARSKE.REGIM.HOUR?date=2021-09-01" htmlTables="1" htmlFormat="all"/>
  </connection>
  <connection id="3" name="oask_psg_template" type="4" refreshedVersion="0" background="1">
    <webPr xml="1" sourceData="1" url="C:\Users\Alex\Dropbox\TEMP\EXCELL_FORMS\oask_psg_template.xml" htmlTables="1" htmlFormat="all"/>
  </connection>
  <connection id="4" name="oask_psg_template1" type="4" refreshedVersion="0" background="1">
    <webPr xml="1" sourceData="1" url="C:\Users\Alex\Dropbox\TEMP\EXCELL_FORMS\oask_psg_template.xml" htmlTables="1" htmlFormat="all"/>
  </connection>
  <connection id="5" name="OGU.PROLETARSKE.REGIM" type="4" refreshedVersion="0" background="1">
    <webPr xml="1" sourceData="1" url="http://localhost:3000/docs/OGU.PROLETARSKE.REGIM.HOUR?date=2021-12-31" htmlTables="1" htmlFormat="all"/>
  </connection>
</connections>
</file>

<file path=xl/sharedStrings.xml><?xml version="1.0" encoding="utf-8"?>
<sst xmlns="http://schemas.openxmlformats.org/spreadsheetml/2006/main" count="644" uniqueCount="202">
  <si>
    <t>id</t>
  </si>
  <si>
    <t>id3</t>
  </si>
  <si>
    <t>id2</t>
  </si>
  <si>
    <t>col1</t>
  </si>
  <si>
    <t>col2</t>
  </si>
  <si>
    <t>id4</t>
  </si>
  <si>
    <t>col3</t>
  </si>
  <si>
    <t>col4</t>
  </si>
  <si>
    <t>OGU.PROLETARSKE.REGIM.HOUR</t>
  </si>
  <si>
    <t>date</t>
  </si>
  <si>
    <t>key</t>
  </si>
  <si>
    <t>fghdfghdfghdf2354345uy675865123</t>
  </si>
  <si>
    <t>doc</t>
  </si>
  <si>
    <t>Col</t>
  </si>
  <si>
    <t>ParId</t>
  </si>
  <si>
    <t>Fx</t>
  </si>
  <si>
    <t>Par-1</t>
  </si>
  <si>
    <t>Par-2</t>
  </si>
  <si>
    <t>Par-3</t>
  </si>
  <si>
    <t>ParamName</t>
  </si>
  <si>
    <t>EU</t>
  </si>
  <si>
    <t>P-001-001</t>
  </si>
  <si>
    <t>Полное название Param-001-07</t>
  </si>
  <si>
    <t>кгс/см2</t>
  </si>
  <si>
    <t>P-001-002</t>
  </si>
  <si>
    <t>Полное название Param-001-08</t>
  </si>
  <si>
    <t>P-001-003</t>
  </si>
  <si>
    <t>Полное название Param-001-09</t>
  </si>
  <si>
    <t>P-001-004</t>
  </si>
  <si>
    <t>Полное название Param-001-10</t>
  </si>
  <si>
    <t>P-001-005</t>
  </si>
  <si>
    <t>Полное название Param-001-11</t>
  </si>
  <si>
    <t>P-001-006</t>
  </si>
  <si>
    <t>Полное название Param-001-12</t>
  </si>
  <si>
    <t>P-001-007</t>
  </si>
  <si>
    <t>Полное название Param-001-13</t>
  </si>
  <si>
    <t>P-001-008</t>
  </si>
  <si>
    <t>Полное название Param-001-14</t>
  </si>
  <si>
    <t>P-001-009</t>
  </si>
  <si>
    <t>Полное название Param-001-15</t>
  </si>
  <si>
    <t>P-001-010</t>
  </si>
  <si>
    <t>Полное название Param-001-16</t>
  </si>
  <si>
    <t>P-001-011</t>
  </si>
  <si>
    <t>Полное название Param-001-17</t>
  </si>
  <si>
    <t>гр.С</t>
  </si>
  <si>
    <t>P-001-012</t>
  </si>
  <si>
    <t>Полное название Param-001-18</t>
  </si>
  <si>
    <t>P-001-013</t>
  </si>
  <si>
    <t>Полное название Param-001-19</t>
  </si>
  <si>
    <t>P-001-014</t>
  </si>
  <si>
    <t>Полное название Param-001-20</t>
  </si>
  <si>
    <t>P-001-015</t>
  </si>
  <si>
    <t>Полное название Param-001-21</t>
  </si>
  <si>
    <t>P-001-016</t>
  </si>
  <si>
    <t>Полное название Param-001-22</t>
  </si>
  <si>
    <t>P-001-017</t>
  </si>
  <si>
    <t>Полное название Param-001-23</t>
  </si>
  <si>
    <t>тис.м3</t>
  </si>
  <si>
    <t>P-001-018</t>
  </si>
  <si>
    <t>Полное название Param-001-24</t>
  </si>
  <si>
    <t>P-001-019</t>
  </si>
  <si>
    <t>Полное название Param-001-25</t>
  </si>
  <si>
    <t>P-001-020</t>
  </si>
  <si>
    <t>Полное название Param-001-26</t>
  </si>
  <si>
    <t>P-001-021</t>
  </si>
  <si>
    <t>Полное название Param-001-27</t>
  </si>
  <si>
    <t>P-001-022</t>
  </si>
  <si>
    <t>Полное название Param-001-28</t>
  </si>
  <si>
    <t>P-001-023</t>
  </si>
  <si>
    <t>Полное название Param-001-29</t>
  </si>
  <si>
    <t>P-001-024</t>
  </si>
  <si>
    <t>Полное название Param-001-30</t>
  </si>
  <si>
    <t>&lt;/row&gt;</t>
  </si>
  <si>
    <t>&lt;row&gt;</t>
  </si>
  <si>
    <t>P-001-025</t>
  </si>
  <si>
    <t>Полное название Param-001-31</t>
  </si>
  <si>
    <t>тис.м4</t>
  </si>
  <si>
    <t>Sensor-00-1</t>
  </si>
  <si>
    <t>P</t>
  </si>
  <si>
    <t>Sensor-00-2</t>
  </si>
  <si>
    <t>Sensor-00-3</t>
  </si>
  <si>
    <t>Sensor-00-4</t>
  </si>
  <si>
    <t>Sensor-00-5</t>
  </si>
  <si>
    <t>Sensor-00-6</t>
  </si>
  <si>
    <t>Sensor-00-7</t>
  </si>
  <si>
    <t>Sensor-00-8</t>
  </si>
  <si>
    <t>Sensor-00-9</t>
  </si>
  <si>
    <t>Sensor-00-10</t>
  </si>
  <si>
    <t>Sensor-00-11</t>
  </si>
  <si>
    <t>Sensor-00-12</t>
  </si>
  <si>
    <t>Sensor-00-13</t>
  </si>
  <si>
    <t>Sensor-00-14</t>
  </si>
  <si>
    <t>Sensor-00-15</t>
  </si>
  <si>
    <t>Sensor-00-16</t>
  </si>
  <si>
    <t>Sensor-00-17</t>
  </si>
  <si>
    <t>Sensor-00-18</t>
  </si>
  <si>
    <t>Sensor-00-19</t>
  </si>
  <si>
    <t>Sensor-00-20</t>
  </si>
  <si>
    <t>Sensor-00-21</t>
  </si>
  <si>
    <t>Sensor-00-22</t>
  </si>
  <si>
    <t>Sensor-00-23</t>
  </si>
  <si>
    <t>Sensor-00-24</t>
  </si>
  <si>
    <t>Sensor-00-25</t>
  </si>
  <si>
    <t>SelectSingle(</t>
  </si>
  <si>
    <t>Par-4</t>
  </si>
  <si>
    <t>par["date"]</t>
  </si>
  <si>
    <t>row</t>
  </si>
  <si>
    <t>/row</t>
  </si>
  <si>
    <t>&lt;/row&gt;&lt;/request&gt;</t>
  </si>
  <si>
    <r>
      <t>&lt;?</t>
    </r>
    <r>
      <rPr>
        <sz val="9"/>
        <color rgb="FF808080"/>
        <rFont val="Consolas"/>
        <family val="3"/>
        <charset val="204"/>
      </rPr>
      <t>xml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version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"1.0"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encoding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"UTF-8"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standalone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"yes"?&gt;&lt;request&gt;</t>
    </r>
  </si>
  <si>
    <t>time</t>
  </si>
  <si>
    <t>id5</t>
  </si>
  <si>
    <t>col5</t>
  </si>
  <si>
    <t>0.52</t>
  </si>
  <si>
    <t>0.24</t>
  </si>
  <si>
    <t>0.22</t>
  </si>
  <si>
    <t>0.37</t>
  </si>
  <si>
    <t>0.93</t>
  </si>
  <si>
    <t>0.89</t>
  </si>
  <si>
    <t>0.16</t>
  </si>
  <si>
    <t>0.53</t>
  </si>
  <si>
    <t>0.74</t>
  </si>
  <si>
    <t>0.21</t>
  </si>
  <si>
    <t>0.35</t>
  </si>
  <si>
    <t>0.85</t>
  </si>
  <si>
    <t>0.23</t>
  </si>
  <si>
    <t>0.01</t>
  </si>
  <si>
    <t>0.34</t>
  </si>
  <si>
    <t>0.60</t>
  </si>
  <si>
    <t>0.13</t>
  </si>
  <si>
    <t>0.18</t>
  </si>
  <si>
    <t>0.00</t>
  </si>
  <si>
    <t>0.36</t>
  </si>
  <si>
    <t>0.05</t>
  </si>
  <si>
    <t>0.48</t>
  </si>
  <si>
    <t>0.32</t>
  </si>
  <si>
    <t>0.61</t>
  </si>
  <si>
    <t>0.19</t>
  </si>
  <si>
    <t>0.06</t>
  </si>
  <si>
    <t>0.76</t>
  </si>
  <si>
    <t>0.63</t>
  </si>
  <si>
    <t>0.96</t>
  </si>
  <si>
    <t>0.95</t>
  </si>
  <si>
    <t>0.20</t>
  </si>
  <si>
    <t>0.31</t>
  </si>
  <si>
    <t>0.80</t>
  </si>
  <si>
    <t>0.26</t>
  </si>
  <si>
    <t>0.02</t>
  </si>
  <si>
    <t>0.38</t>
  </si>
  <si>
    <t>0.47</t>
  </si>
  <si>
    <t>0.66</t>
  </si>
  <si>
    <t>0.88</t>
  </si>
  <si>
    <t>0.14</t>
  </si>
  <si>
    <t>0.67</t>
  </si>
  <si>
    <t>0.46</t>
  </si>
  <si>
    <t>0.82</t>
  </si>
  <si>
    <t>0.07</t>
  </si>
  <si>
    <t>0.97</t>
  </si>
  <si>
    <t>0.29</t>
  </si>
  <si>
    <t>0.87</t>
  </si>
  <si>
    <t>par["time"]</t>
  </si>
  <si>
    <t>Binding</t>
  </si>
  <si>
    <t>P-001-026</t>
  </si>
  <si>
    <t>P-001-027</t>
  </si>
  <si>
    <t>P-001-028</t>
  </si>
  <si>
    <t>P-001-029</t>
  </si>
  <si>
    <t>P-001-030</t>
  </si>
  <si>
    <t>P-001-031</t>
  </si>
  <si>
    <t>P-001-032</t>
  </si>
  <si>
    <t>P-001-033</t>
  </si>
  <si>
    <t>P-001-034</t>
  </si>
  <si>
    <t>P-001-035</t>
  </si>
  <si>
    <t>P-001-036</t>
  </si>
  <si>
    <t>P-001-037</t>
  </si>
  <si>
    <t>P-001-038</t>
  </si>
  <si>
    <t>P-001-039</t>
  </si>
  <si>
    <t>P-001-040</t>
  </si>
  <si>
    <t>P-001-041</t>
  </si>
  <si>
    <t>P-001-042</t>
  </si>
  <si>
    <t>P-001-043</t>
  </si>
  <si>
    <t>P-001-044</t>
  </si>
  <si>
    <t>P-001-045</t>
  </si>
  <si>
    <t>P-001-046</t>
  </si>
  <si>
    <t>P-001-047</t>
  </si>
  <si>
    <t>P-001-048</t>
  </si>
  <si>
    <t>P-001-049</t>
  </si>
  <si>
    <t>P-001-050</t>
  </si>
  <si>
    <t>P-001-051</t>
  </si>
  <si>
    <t>P-001-052</t>
  </si>
  <si>
    <t>P-001-053</t>
  </si>
  <si>
    <t>P-001-054</t>
  </si>
  <si>
    <t>P-001-055</t>
  </si>
  <si>
    <t>P-001-056</t>
  </si>
  <si>
    <t>P-001-057</t>
  </si>
  <si>
    <t>P-001-058</t>
  </si>
  <si>
    <t>P-001-059</t>
  </si>
  <si>
    <t>P-001-060</t>
  </si>
  <si>
    <t>P-001-061</t>
  </si>
  <si>
    <t>P-001-062</t>
  </si>
  <si>
    <t>P-001-063</t>
  </si>
  <si>
    <t>P-001-064</t>
  </si>
  <si>
    <t>P-001-065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</si>
</sst>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.mm\.yy;@"/>
    <numFmt numFmtId="170" formatCode="hh:mm:ss;@"/>
    <numFmt numFmtId="171" formatCode="yyyy\-mm\-dd;@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9"/>
      <color rgb="FF000000"/>
      <name val="Consolas"/>
      <family val="3"/>
      <charset val="204"/>
    </font>
    <font>
      <sz val="9"/>
      <color rgb="FF0000FF"/>
      <name val="Consolas"/>
      <family val="3"/>
      <charset val="204"/>
    </font>
    <font>
      <sz val="9"/>
      <color rgb="FF808080"/>
      <name val="Consolas"/>
      <family val="3"/>
      <charset val="204"/>
    </font>
    <font>
      <sz val="9"/>
      <color rgb="FFFF0000"/>
      <name val="Consolas"/>
      <family val="3"/>
      <charset val="204"/>
    </font>
    <font>
      <sz val="12"/>
      <color rgb="FF0A0101"/>
      <name val="Arial"/>
      <family val="2"/>
      <charset val="204"/>
    </font>
    <font>
      <b/>
      <sz val="1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49" fontId="0" fillId="0" borderId="0" xfId="0" applyNumberFormat="1"/>
    <xf numFmtId="14" fontId="0" fillId="0" borderId="0" xfId="0" applyNumberFormat="1"/>
    <xf numFmtId="21" fontId="0" fillId="0" borderId="0" xfId="0" applyNumberFormat="1"/>
    <xf numFmtId="0" fontId="2" fillId="0" borderId="1" xfId="0" applyFont="1" applyBorder="1"/>
    <xf numFmtId="164" fontId="0" fillId="2" borderId="1" xfId="0" applyNumberFormat="1" applyFill="1" applyBorder="1"/>
    <xf numFmtId="0" fontId="0" fillId="0" borderId="1" xfId="0" applyBorder="1"/>
    <xf numFmtId="0" fontId="2" fillId="3" borderId="2" xfId="0" applyFont="1" applyFill="1" applyBorder="1"/>
    <xf numFmtId="0" fontId="3" fillId="3" borderId="2" xfId="0" applyFont="1" applyFill="1" applyBorder="1"/>
    <xf numFmtId="0" fontId="2" fillId="3" borderId="3" xfId="0" applyFont="1" applyFill="1" applyBorder="1"/>
    <xf numFmtId="0" fontId="8" fillId="0" borderId="0" xfId="0" applyFont="1"/>
    <xf numFmtId="0" fontId="2" fillId="3" borderId="4" xfId="0" applyFont="1" applyFill="1" applyBorder="1"/>
    <xf numFmtId="0" fontId="0" fillId="0" borderId="5" xfId="0" applyBorder="1"/>
    <xf numFmtId="0" fontId="2" fillId="0" borderId="2" xfId="0" applyFont="1" applyBorder="1"/>
    <xf numFmtId="170" fontId="0" fillId="0" borderId="3" xfId="0" applyNumberFormat="1" applyFill="1" applyBorder="1"/>
    <xf numFmtId="22" fontId="0" fillId="0" borderId="0" xfId="0" applyNumberFormat="1"/>
    <xf numFmtId="49" fontId="0" fillId="5" borderId="0" xfId="0" applyNumberFormat="1" applyFill="1"/>
    <xf numFmtId="171" fontId="0" fillId="4" borderId="0" xfId="0" applyNumberFormat="1" applyFill="1"/>
    <xf numFmtId="0" fontId="9" fillId="6" borderId="1" xfId="0" applyFont="1" applyFill="1" applyBorder="1"/>
    <xf numFmtId="0" fontId="5" fillId="0" borderId="6" xfId="0" applyFont="1" applyFill="1" applyBorder="1" applyAlignment="1">
      <alignment vertical="center"/>
    </xf>
    <xf numFmtId="0" fontId="0" fillId="0" borderId="0" xfId="0" applyFill="1"/>
    <xf numFmtId="164" fontId="0" fillId="0" borderId="7" xfId="0" applyNumberFormat="1" applyFill="1" applyBorder="1"/>
    <xf numFmtId="0" fontId="0" fillId="0" borderId="7" xfId="0" applyFill="1" applyBorder="1"/>
    <xf numFmtId="0" fontId="2" fillId="3" borderId="0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ame="request">
        <xsd:complexType>
          <xsd:sequence>
            <!-- Parameters -->
            <xsd:element minOccurs="0" maxOccurs="1" name="doc" type="xsd:string"/>
            <xsd:element minOccurs="0" maxOccurs="1" name="date" type="xsd:date"/>
            <xsd:element minOccurs="0" maxOccurs="1" name="time" type="xsd:time"/>
            <xsd:element minOccurs="0" maxOccurs="1" name="version" type="xsd:integer"/>
            <xsd:element minOccurs="0" maxOccurs="1" name="created" type="xsd:dateTime"/>
            <xsd:element minOccurs="0" maxOccurs="1" name="key" type="xsd:string"/>
            <!-- Rows -->
            <xsd:element minOccurs="0" maxOccurs="unbounded" name="row">
              <xsd:complexType>
                <xsd:sequence>
                  <xsd:element name="col1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2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3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4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5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6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7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8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9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10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11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4" Name="response_map" RootElement="request" SchemaID="Schema2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38100</xdr:rowOff>
        </xdr:from>
        <xdr:to>
          <xdr:col>14</xdr:col>
          <xdr:colOff>28575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POST doc (add new)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19050</xdr:rowOff>
        </xdr:from>
        <xdr:to>
          <xdr:col>14</xdr:col>
          <xdr:colOff>19050</xdr:colOff>
          <xdr:row>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realime (TEMPLATE GET)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2019300</xdr:colOff>
          <xdr:row>7</xdr:row>
          <xdr:rowOff>85726</xdr:rowOff>
        </xdr:from>
        <xdr:to>
          <xdr:col>14</xdr:col>
          <xdr:colOff>0</xdr:colOff>
          <xdr:row>9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doc (filter P1-Q1)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</xdr:row>
          <xdr:rowOff>0</xdr:rowOff>
        </xdr:from>
        <xdr:to>
          <xdr:col>11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POST TEMPLATE (from selection)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J14" tableType="xml" totalsRowShown="0" connectionId="5">
  <autoFilter ref="A1:J14"/>
  <tableColumns count="10">
    <tableColumn id="1" uniqueName="col1" name="col1">
      <xmlColumnPr mapId="4" xpath="/request/row/col1" xmlDataType="string"/>
    </tableColumn>
    <tableColumn id="2" uniqueName="id" name="id">
      <xmlColumnPr mapId="4" xpath="/request/row/col1/@id" xmlDataType="string"/>
    </tableColumn>
    <tableColumn id="3" uniqueName="col2" name="col2">
      <xmlColumnPr mapId="4" xpath="/request/row/col2" xmlDataType="string"/>
    </tableColumn>
    <tableColumn id="4" uniqueName="id" name="id2">
      <xmlColumnPr mapId="4" xpath="/request/row/col2/@id" xmlDataType="string"/>
    </tableColumn>
    <tableColumn id="5" uniqueName="col3" name="col3">
      <xmlColumnPr mapId="4" xpath="/request/row/col3" xmlDataType="string"/>
    </tableColumn>
    <tableColumn id="6" uniqueName="id" name="id3">
      <xmlColumnPr mapId="4" xpath="/request/row/col3/@id" xmlDataType="string"/>
    </tableColumn>
    <tableColumn id="7" uniqueName="col4" name="col4">
      <xmlColumnPr mapId="4" xpath="/request/row/col4" xmlDataType="string"/>
    </tableColumn>
    <tableColumn id="8" uniqueName="id" name="id4">
      <xmlColumnPr mapId="4" xpath="/request/row/col4/@id" xmlDataType="string"/>
    </tableColumn>
    <tableColumn id="9" uniqueName="col5" name="col5">
      <xmlColumnPr mapId="4" xpath="/request/row/col5" xmlDataType="string"/>
    </tableColumn>
    <tableColumn id="10" uniqueName="id" name="id5">
      <xmlColumnPr mapId="4" xpath="/request/row/col5/@id" xmlDataType="string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P1" connectionId="5">
    <xmlCellPr id="1" uniqueName="doc">
      <xmlPr mapId="4" xpath="/request/doc" xmlDataType="string"/>
    </xmlCellPr>
  </singleXmlCell>
  <singleXmlCell id="3" r="Q1" connectionId="5">
    <xmlCellPr id="1" uniqueName="date">
      <xmlPr mapId="4" xpath="/request/date" xmlDataType="date"/>
    </xmlCellPr>
  </singleXmlCell>
  <singleXmlCell id="4" r="R1" connectionId="5">
    <xmlCellPr id="1" uniqueName="time">
      <xmlPr mapId="4" xpath="/request/time" xmlDataType="time"/>
    </xmlCellPr>
  </singleXmlCell>
  <singleXmlCell id="5" r="S1" connectionId="5">
    <xmlCellPr id="1" uniqueName="version">
      <xmlPr mapId="4" xpath="/request/version" xmlDataType="integer"/>
    </xmlCellPr>
  </singleXmlCell>
  <singleXmlCell id="6" r="T1" connectionId="5">
    <xmlCellPr id="1" uniqueName="created">
      <xmlPr mapId="4" xpath="/request/created" xmlDataType="dateTime"/>
    </xmlCellPr>
  </singleXmlCell>
  <singleXmlCell id="7" r="U1" connectionId="5">
    <xmlCellPr id="1" uniqueName="key">
      <xmlPr mapId="4" xpath="/request/key" xmlDataType="string"/>
    </xmlCellPr>
  </singleXmlCell>
</singleXmlCell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U14"/>
  <sheetViews>
    <sheetView workbookViewId="0">
      <selection activeCell="L20" sqref="L20"/>
    </sheetView>
  </sheetViews>
  <sheetFormatPr defaultRowHeight="15" x14ac:dyDescent="0.25"/>
  <cols>
    <col min="1" max="1" width="6.85546875" customWidth="1"/>
    <col min="2" max="2" width="9.5703125" hidden="1" customWidth="1"/>
    <col min="3" max="3" width="6.85546875" customWidth="1"/>
    <col min="4" max="4" width="9.5703125" hidden="1" customWidth="1"/>
    <col min="5" max="5" width="6.85546875" customWidth="1"/>
    <col min="6" max="6" width="9.5703125" hidden="1" customWidth="1"/>
    <col min="7" max="7" width="6.85546875" customWidth="1"/>
    <col min="8" max="8" width="9.5703125" hidden="1" customWidth="1"/>
    <col min="9" max="9" width="6.85546875" customWidth="1"/>
    <col min="10" max="10" width="9.5703125" hidden="1" customWidth="1"/>
    <col min="11" max="11" width="30.42578125" bestFit="1" customWidth="1"/>
    <col min="16" max="16" width="30.42578125" bestFit="1" customWidth="1"/>
    <col min="17" max="17" width="10.42578125" bestFit="1" customWidth="1"/>
    <col min="18" max="18" width="8.140625" customWidth="1"/>
    <col min="21" max="21" width="32.5703125" bestFit="1" customWidth="1"/>
  </cols>
  <sheetData>
    <row r="1" spans="1:21" x14ac:dyDescent="0.3">
      <c r="A1" t="s">
        <v>3</v>
      </c>
      <c r="B1" t="s">
        <v>0</v>
      </c>
      <c r="C1" t="s">
        <v>4</v>
      </c>
      <c r="D1" t="s">
        <v>2</v>
      </c>
      <c r="E1" t="s">
        <v>6</v>
      </c>
      <c r="F1" t="s">
        <v>1</v>
      </c>
      <c r="G1" t="s">
        <v>7</v>
      </c>
      <c r="H1" t="s">
        <v>5</v>
      </c>
      <c r="I1" t="s">
        <v>112</v>
      </c>
      <c r="J1" t="s">
        <v>111</v>
      </c>
      <c r="K1" s="2"/>
      <c r="P1" s="16" t="s">
        <v>8</v>
      </c>
      <c r="Q1" s="17">
        <v>44561</v>
      </c>
      <c r="R1" s="3"/>
      <c r="T1" s="15"/>
      <c r="U1" s="1" t="s">
        <v>11</v>
      </c>
    </row>
    <row r="2" spans="1:21" x14ac:dyDescent="0.3">
      <c r="A2" s="1" t="s">
        <v>123</v>
      </c>
      <c r="B2" s="1" t="s">
        <v>21</v>
      </c>
      <c r="C2" s="1" t="s">
        <v>134</v>
      </c>
      <c r="D2" s="1" t="s">
        <v>24</v>
      </c>
      <c r="E2" s="1" t="s">
        <v>126</v>
      </c>
      <c r="F2" s="1" t="s">
        <v>26</v>
      </c>
      <c r="G2" s="1" t="s">
        <v>119</v>
      </c>
      <c r="H2" s="1" t="s">
        <v>28</v>
      </c>
      <c r="I2" s="1" t="s">
        <v>157</v>
      </c>
      <c r="J2" s="1" t="s">
        <v>30</v>
      </c>
      <c r="K2" s="3"/>
    </row>
    <row r="3" spans="1:21" x14ac:dyDescent="0.3">
      <c r="A3" s="1" t="s">
        <v>125</v>
      </c>
      <c r="B3" s="1" t="s">
        <v>32</v>
      </c>
      <c r="C3" s="1" t="s">
        <v>154</v>
      </c>
      <c r="D3" s="1" t="s">
        <v>34</v>
      </c>
      <c r="E3" s="1" t="s">
        <v>118</v>
      </c>
      <c r="F3" s="1" t="s">
        <v>36</v>
      </c>
      <c r="G3" s="1" t="s">
        <v>158</v>
      </c>
      <c r="H3" s="1" t="s">
        <v>38</v>
      </c>
      <c r="I3" s="1" t="s">
        <v>133</v>
      </c>
      <c r="J3" s="1" t="s">
        <v>40</v>
      </c>
      <c r="K3" s="2"/>
    </row>
    <row r="4" spans="1:21" x14ac:dyDescent="0.3">
      <c r="A4" s="1" t="s">
        <v>128</v>
      </c>
      <c r="B4" s="1" t="s">
        <v>42</v>
      </c>
      <c r="C4" s="1" t="s">
        <v>149</v>
      </c>
      <c r="D4" s="1" t="s">
        <v>45</v>
      </c>
      <c r="E4" s="1" t="s">
        <v>130</v>
      </c>
      <c r="F4" s="1" t="s">
        <v>47</v>
      </c>
      <c r="G4" s="1" t="s">
        <v>132</v>
      </c>
      <c r="H4" s="1" t="s">
        <v>49</v>
      </c>
      <c r="I4" s="1" t="s">
        <v>147</v>
      </c>
      <c r="J4" s="1" t="s">
        <v>51</v>
      </c>
      <c r="K4" s="1"/>
    </row>
    <row r="5" spans="1:21" x14ac:dyDescent="0.25">
      <c r="A5" s="1" t="s">
        <v>137</v>
      </c>
      <c r="B5" s="1" t="s">
        <v>53</v>
      </c>
      <c r="C5" s="1" t="s">
        <v>148</v>
      </c>
      <c r="D5" s="1" t="s">
        <v>55</v>
      </c>
      <c r="E5" s="1" t="s">
        <v>121</v>
      </c>
      <c r="F5" s="1" t="s">
        <v>58</v>
      </c>
      <c r="G5" s="1" t="s">
        <v>143</v>
      </c>
      <c r="H5" s="1" t="s">
        <v>60</v>
      </c>
      <c r="I5" s="1" t="s">
        <v>157</v>
      </c>
      <c r="J5" s="1" t="s">
        <v>62</v>
      </c>
    </row>
    <row r="6" spans="1:21" x14ac:dyDescent="0.25">
      <c r="A6" s="1" t="s">
        <v>144</v>
      </c>
      <c r="B6" s="1" t="s">
        <v>64</v>
      </c>
      <c r="C6" s="1" t="s">
        <v>117</v>
      </c>
      <c r="D6" s="1" t="s">
        <v>66</v>
      </c>
      <c r="E6" s="1" t="s">
        <v>150</v>
      </c>
      <c r="F6" s="1" t="s">
        <v>68</v>
      </c>
      <c r="G6" s="1" t="s">
        <v>114</v>
      </c>
      <c r="H6" s="1" t="s">
        <v>70</v>
      </c>
      <c r="I6" s="1" t="s">
        <v>145</v>
      </c>
      <c r="J6" s="1" t="s">
        <v>74</v>
      </c>
    </row>
    <row r="7" spans="1:21" x14ac:dyDescent="0.25">
      <c r="A7" s="1" t="s">
        <v>113</v>
      </c>
      <c r="B7" s="1" t="s">
        <v>162</v>
      </c>
      <c r="C7" s="1" t="s">
        <v>147</v>
      </c>
      <c r="D7" s="1" t="s">
        <v>163</v>
      </c>
      <c r="E7" s="1" t="s">
        <v>150</v>
      </c>
      <c r="F7" s="1" t="s">
        <v>164</v>
      </c>
      <c r="G7" s="1" t="s">
        <v>135</v>
      </c>
      <c r="H7" s="1" t="s">
        <v>165</v>
      </c>
      <c r="I7" s="1" t="s">
        <v>132</v>
      </c>
      <c r="J7" s="1" t="s">
        <v>166</v>
      </c>
    </row>
    <row r="8" spans="1:21" x14ac:dyDescent="0.25">
      <c r="A8" s="1" t="s">
        <v>140</v>
      </c>
      <c r="B8" s="1" t="s">
        <v>167</v>
      </c>
      <c r="C8" s="1" t="s">
        <v>116</v>
      </c>
      <c r="D8" s="1" t="s">
        <v>168</v>
      </c>
      <c r="E8" s="1" t="s">
        <v>153</v>
      </c>
      <c r="F8" s="1" t="s">
        <v>169</v>
      </c>
      <c r="G8" s="1" t="s">
        <v>151</v>
      </c>
      <c r="H8" s="1" t="s">
        <v>170</v>
      </c>
      <c r="I8" s="1" t="s">
        <v>123</v>
      </c>
      <c r="J8" s="1" t="s">
        <v>171</v>
      </c>
    </row>
    <row r="9" spans="1:21" x14ac:dyDescent="0.25">
      <c r="A9" s="1" t="s">
        <v>113</v>
      </c>
      <c r="B9" s="1" t="s">
        <v>172</v>
      </c>
      <c r="C9" s="1" t="s">
        <v>159</v>
      </c>
      <c r="D9" s="1" t="s">
        <v>173</v>
      </c>
      <c r="E9" s="1" t="s">
        <v>133</v>
      </c>
      <c r="F9" s="1" t="s">
        <v>174</v>
      </c>
      <c r="G9" s="1" t="s">
        <v>151</v>
      </c>
      <c r="H9" s="1" t="s">
        <v>175</v>
      </c>
      <c r="I9" s="1" t="s">
        <v>154</v>
      </c>
      <c r="J9" s="1" t="s">
        <v>176</v>
      </c>
    </row>
    <row r="10" spans="1:21" x14ac:dyDescent="0.25">
      <c r="A10" s="1" t="s">
        <v>130</v>
      </c>
      <c r="B10" s="1" t="s">
        <v>177</v>
      </c>
      <c r="C10" s="1" t="s">
        <v>142</v>
      </c>
      <c r="D10" s="1" t="s">
        <v>178</v>
      </c>
      <c r="E10" s="1" t="s">
        <v>139</v>
      </c>
      <c r="F10" s="1" t="s">
        <v>179</v>
      </c>
      <c r="G10" s="1" t="s">
        <v>115</v>
      </c>
      <c r="H10" s="1" t="s">
        <v>180</v>
      </c>
      <c r="I10" s="1" t="s">
        <v>135</v>
      </c>
      <c r="J10" s="1" t="s">
        <v>181</v>
      </c>
    </row>
    <row r="11" spans="1:21" x14ac:dyDescent="0.25">
      <c r="A11" s="1" t="s">
        <v>146</v>
      </c>
      <c r="B11" s="1" t="s">
        <v>182</v>
      </c>
      <c r="C11" s="1" t="s">
        <v>152</v>
      </c>
      <c r="D11" s="1" t="s">
        <v>183</v>
      </c>
      <c r="E11" s="1" t="s">
        <v>141</v>
      </c>
      <c r="F11" s="1" t="s">
        <v>184</v>
      </c>
      <c r="G11" s="1" t="s">
        <v>155</v>
      </c>
      <c r="H11" s="1" t="s">
        <v>185</v>
      </c>
      <c r="I11" s="1" t="s">
        <v>145</v>
      </c>
      <c r="J11" s="1" t="s">
        <v>186</v>
      </c>
    </row>
    <row r="12" spans="1:21" x14ac:dyDescent="0.25">
      <c r="A12" s="1" t="s">
        <v>114</v>
      </c>
      <c r="B12" s="1" t="s">
        <v>187</v>
      </c>
      <c r="C12" s="1" t="s">
        <v>131</v>
      </c>
      <c r="D12" s="1" t="s">
        <v>188</v>
      </c>
      <c r="E12" s="1" t="s">
        <v>136</v>
      </c>
      <c r="F12" s="1" t="s">
        <v>189</v>
      </c>
      <c r="G12" s="1" t="s">
        <v>129</v>
      </c>
      <c r="H12" s="1" t="s">
        <v>190</v>
      </c>
      <c r="I12" s="1" t="s">
        <v>156</v>
      </c>
      <c r="J12" s="1" t="s">
        <v>191</v>
      </c>
    </row>
    <row r="13" spans="1:21" x14ac:dyDescent="0.25">
      <c r="A13" s="1" t="s">
        <v>127</v>
      </c>
      <c r="B13" s="1" t="s">
        <v>192</v>
      </c>
      <c r="C13" s="1" t="s">
        <v>119</v>
      </c>
      <c r="D13" s="1" t="s">
        <v>193</v>
      </c>
      <c r="E13" s="1" t="s">
        <v>149</v>
      </c>
      <c r="F13" s="1" t="s">
        <v>194</v>
      </c>
      <c r="G13" s="1" t="s">
        <v>124</v>
      </c>
      <c r="H13" s="1" t="s">
        <v>195</v>
      </c>
      <c r="I13" s="1" t="s">
        <v>148</v>
      </c>
      <c r="J13" s="1" t="s">
        <v>196</v>
      </c>
    </row>
    <row r="14" spans="1:21" x14ac:dyDescent="0.25">
      <c r="A14" s="1" t="s">
        <v>148</v>
      </c>
      <c r="B14" s="1" t="s">
        <v>197</v>
      </c>
      <c r="C14" s="1" t="s">
        <v>120</v>
      </c>
      <c r="D14" s="1" t="s">
        <v>198</v>
      </c>
      <c r="E14" s="1" t="s">
        <v>122</v>
      </c>
      <c r="F14" s="1" t="s">
        <v>199</v>
      </c>
      <c r="G14" s="1" t="s">
        <v>135</v>
      </c>
      <c r="H14" s="1" t="s">
        <v>200</v>
      </c>
      <c r="I14" s="1" t="s">
        <v>138</v>
      </c>
      <c r="J14" s="1" t="s">
        <v>201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OSTnewDOC_Click">
                <anchor moveWithCells="1">
                  <from>
                    <xdr:col>11</xdr:col>
                    <xdr:colOff>19050</xdr:colOff>
                    <xdr:row>1</xdr:row>
                    <xdr:rowOff>38100</xdr:rowOff>
                  </from>
                  <to>
                    <xdr:col>14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Realtime_Click">
                <anchor moveWithCells="1" sizeWithCells="1">
                  <from>
                    <xdr:col>11</xdr:col>
                    <xdr:colOff>9525</xdr:colOff>
                    <xdr:row>4</xdr:row>
                    <xdr:rowOff>19050</xdr:rowOff>
                  </from>
                  <to>
                    <xdr:col>14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Doc_Click">
                <anchor moveWithCells="1" sizeWithCells="1">
                  <from>
                    <xdr:col>10</xdr:col>
                    <xdr:colOff>2019300</xdr:colOff>
                    <xdr:row>7</xdr:row>
                    <xdr:rowOff>85725</xdr:rowOff>
                  </from>
                  <to>
                    <xdr:col>14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O72"/>
  <sheetViews>
    <sheetView tabSelected="1" workbookViewId="0">
      <selection activeCell="C3" sqref="C3"/>
    </sheetView>
  </sheetViews>
  <sheetFormatPr defaultRowHeight="15" x14ac:dyDescent="0.25"/>
  <cols>
    <col min="2" max="2" width="15.42578125" bestFit="1" customWidth="1"/>
    <col min="3" max="3" width="17.28515625" bestFit="1" customWidth="1"/>
    <col min="4" max="4" width="3.85546875" bestFit="1" customWidth="1"/>
    <col min="6" max="6" width="11.85546875" bestFit="1" customWidth="1"/>
    <col min="7" max="7" width="32.5703125" bestFit="1" customWidth="1"/>
    <col min="8" max="8" width="5.5703125" bestFit="1" customWidth="1"/>
    <col min="9" max="9" width="11" bestFit="1" customWidth="1"/>
    <col min="10" max="10" width="5.5703125" bestFit="1" customWidth="1"/>
    <col min="11" max="11" width="30" bestFit="1" customWidth="1"/>
    <col min="12" max="12" width="7.7109375" bestFit="1" customWidth="1"/>
    <col min="13" max="13" width="44.140625" bestFit="1" customWidth="1"/>
    <col min="14" max="14" width="100.85546875" bestFit="1" customWidth="1"/>
    <col min="15" max="15" width="42.140625" bestFit="1" customWidth="1"/>
  </cols>
  <sheetData>
    <row r="1" spans="2:15" x14ac:dyDescent="0.25">
      <c r="N1" s="19" t="s">
        <v>109</v>
      </c>
      <c r="O1" s="20"/>
    </row>
    <row r="2" spans="2:15" ht="15.75" x14ac:dyDescent="0.25">
      <c r="E2" s="4" t="s">
        <v>9</v>
      </c>
      <c r="G2" s="5" t="s">
        <v>105</v>
      </c>
      <c r="K2" s="10"/>
      <c r="N2" s="21" t="str">
        <f>CONCATENATE("&lt;",E2,"&gt;",TEXT(G2,"yyyy-mm-dd"),"&lt;/",E2,"&gt;")</f>
        <v>&lt;date&gt;par["date"]&lt;/date&gt;</v>
      </c>
      <c r="O2" s="20"/>
    </row>
    <row r="3" spans="2:15" x14ac:dyDescent="0.25">
      <c r="E3" s="4" t="s">
        <v>10</v>
      </c>
      <c r="G3" s="6" t="s">
        <v>11</v>
      </c>
      <c r="N3" s="22" t="str">
        <f t="shared" ref="N3:N4" si="0">CONCATENATE("&lt;",E3,"&gt;",G3,"&lt;/",E3,"&gt;")</f>
        <v>&lt;key&gt;fghdfghdfghdf2354345uy675865123&lt;/key&gt;</v>
      </c>
      <c r="O3" s="20"/>
    </row>
    <row r="4" spans="2:15" x14ac:dyDescent="0.25">
      <c r="E4" s="4" t="s">
        <v>12</v>
      </c>
      <c r="G4" s="6" t="s">
        <v>8</v>
      </c>
      <c r="N4" s="22" t="str">
        <f t="shared" si="0"/>
        <v>&lt;doc&gt;OGU.PROLETARSKE.REGIM.HOUR&lt;/doc&gt;</v>
      </c>
      <c r="O4" s="20"/>
    </row>
    <row r="5" spans="2:15" x14ac:dyDescent="0.25">
      <c r="E5" s="4" t="s">
        <v>110</v>
      </c>
      <c r="G5" s="5" t="s">
        <v>160</v>
      </c>
      <c r="N5" s="21"/>
      <c r="O5" s="20"/>
    </row>
    <row r="6" spans="2:15" x14ac:dyDescent="0.25">
      <c r="E6" s="13"/>
      <c r="G6" s="14"/>
      <c r="N6" s="21"/>
      <c r="O6" s="20"/>
    </row>
    <row r="7" spans="2:15" x14ac:dyDescent="0.25">
      <c r="B7" s="7" t="s">
        <v>106</v>
      </c>
      <c r="C7" s="7" t="s">
        <v>107</v>
      </c>
      <c r="D7" s="7" t="s">
        <v>13</v>
      </c>
      <c r="E7" s="7" t="s">
        <v>14</v>
      </c>
      <c r="F7" s="8" t="s">
        <v>15</v>
      </c>
      <c r="G7" s="9" t="s">
        <v>16</v>
      </c>
      <c r="H7" s="9" t="s">
        <v>17</v>
      </c>
      <c r="I7" s="9" t="s">
        <v>18</v>
      </c>
      <c r="J7" s="9" t="s">
        <v>104</v>
      </c>
      <c r="K7" s="7" t="s">
        <v>19</v>
      </c>
      <c r="L7" s="11" t="s">
        <v>20</v>
      </c>
      <c r="M7" s="23" t="s">
        <v>161</v>
      </c>
      <c r="N7" s="22"/>
      <c r="O7" s="20"/>
    </row>
    <row r="8" spans="2:15" x14ac:dyDescent="0.25">
      <c r="B8" s="6" t="s">
        <v>73</v>
      </c>
      <c r="C8" s="6"/>
      <c r="D8" s="6">
        <v>1</v>
      </c>
      <c r="E8" s="6" t="s">
        <v>21</v>
      </c>
      <c r="F8" s="6" t="s">
        <v>103</v>
      </c>
      <c r="G8" s="6" t="s">
        <v>77</v>
      </c>
      <c r="H8" s="6" t="s">
        <v>78</v>
      </c>
      <c r="I8" s="6" t="s">
        <v>105</v>
      </c>
      <c r="J8" s="6">
        <v>7</v>
      </c>
      <c r="K8" s="6" t="s">
        <v>22</v>
      </c>
      <c r="L8" s="12" t="s">
        <v>23</v>
      </c>
      <c r="M8" s="22" t="str">
        <f>CONCATENATE(F8,"""",G8,"""",",","""",H8,""",",I8,",",J8,")")</f>
        <v>SelectSingle("Sensor-00-1","P",par["date"],7)</v>
      </c>
      <c r="N8" s="22" t="str">
        <f>CONCATENATE(B8,"&lt;col",D8," id=""",E8,"""&gt;",M8,"&lt;/col",D8,"&gt;",C8)</f>
        <v>&lt;row&gt;&lt;col1 id="P-001-001"&gt;SelectSingle("Sensor-00-1","P",par["date"],7)&lt;/col1&gt;</v>
      </c>
    </row>
    <row r="9" spans="2:15" x14ac:dyDescent="0.25">
      <c r="B9" s="6"/>
      <c r="C9" s="6"/>
      <c r="D9" s="6">
        <v>2</v>
      </c>
      <c r="E9" s="6" t="s">
        <v>24</v>
      </c>
      <c r="F9" s="6" t="s">
        <v>103</v>
      </c>
      <c r="G9" s="6" t="s">
        <v>79</v>
      </c>
      <c r="H9" s="6" t="s">
        <v>78</v>
      </c>
      <c r="I9" s="6" t="s">
        <v>105</v>
      </c>
      <c r="J9" s="6">
        <v>9</v>
      </c>
      <c r="K9" s="6" t="s">
        <v>25</v>
      </c>
      <c r="L9" s="12" t="s">
        <v>23</v>
      </c>
      <c r="M9" s="22" t="str">
        <f>CONCATENATE(F9,"""",G9,"""",",","""",H9,""",",I9,",",J9,")")</f>
        <v>SelectSingle("Sensor-00-2","P",par["date"],9)</v>
      </c>
      <c r="N9" s="22" t="str">
        <f t="shared" ref="N9:N37" si="1">CONCATENATE(B9,"&lt;col",D9," id=""",E9,"""&gt;",M9,"&lt;/col",D9,"&gt;",C9)</f>
        <v>&lt;col2 id="P-001-002"&gt;SelectSingle("Sensor-00-2","P",par["date"],9)&lt;/col2&gt;</v>
      </c>
    </row>
    <row r="10" spans="2:15" x14ac:dyDescent="0.25">
      <c r="B10" s="6"/>
      <c r="C10" s="6"/>
      <c r="D10" s="6">
        <v>3</v>
      </c>
      <c r="E10" s="6" t="s">
        <v>26</v>
      </c>
      <c r="F10" s="6" t="s">
        <v>103</v>
      </c>
      <c r="G10" s="6" t="s">
        <v>80</v>
      </c>
      <c r="H10" s="6" t="s">
        <v>78</v>
      </c>
      <c r="I10" s="6" t="s">
        <v>105</v>
      </c>
      <c r="J10" s="6">
        <v>11</v>
      </c>
      <c r="K10" s="6" t="s">
        <v>27</v>
      </c>
      <c r="L10" s="12" t="s">
        <v>23</v>
      </c>
      <c r="M10" s="22" t="str">
        <f>CONCATENATE(F10,"""",G10,"""",",","""",H10,""",",I10,",",J10,")")</f>
        <v>SelectSingle("Sensor-00-3","P",par["date"],11)</v>
      </c>
      <c r="N10" s="22" t="str">
        <f t="shared" si="1"/>
        <v>&lt;col3 id="P-001-003"&gt;SelectSingle("Sensor-00-3","P",par["date"],11)&lt;/col3&gt;</v>
      </c>
    </row>
    <row r="11" spans="2:15" x14ac:dyDescent="0.25">
      <c r="B11" s="6"/>
      <c r="C11" s="6"/>
      <c r="D11" s="6">
        <v>4</v>
      </c>
      <c r="E11" s="6" t="s">
        <v>28</v>
      </c>
      <c r="F11" s="6" t="s">
        <v>103</v>
      </c>
      <c r="G11" s="6" t="s">
        <v>81</v>
      </c>
      <c r="H11" s="6" t="s">
        <v>78</v>
      </c>
      <c r="I11" s="6" t="s">
        <v>105</v>
      </c>
      <c r="J11" s="6">
        <v>13</v>
      </c>
      <c r="K11" s="6" t="s">
        <v>29</v>
      </c>
      <c r="L11" s="12" t="s">
        <v>23</v>
      </c>
      <c r="M11" s="22" t="str">
        <f>CONCATENATE(F11,"""",G11,"""",",","""",H11,""",",I11,",",J11,")")</f>
        <v>SelectSingle("Sensor-00-4","P",par["date"],13)</v>
      </c>
      <c r="N11" s="22" t="str">
        <f t="shared" si="1"/>
        <v>&lt;col4 id="P-001-004"&gt;SelectSingle("Sensor-00-4","P",par["date"],13)&lt;/col4&gt;</v>
      </c>
    </row>
    <row r="12" spans="2:15" x14ac:dyDescent="0.25">
      <c r="B12" s="6"/>
      <c r="C12" s="6" t="s">
        <v>72</v>
      </c>
      <c r="D12" s="6">
        <v>5</v>
      </c>
      <c r="E12" s="6" t="s">
        <v>30</v>
      </c>
      <c r="F12" s="6" t="s">
        <v>103</v>
      </c>
      <c r="G12" s="6" t="s">
        <v>82</v>
      </c>
      <c r="H12" s="6" t="s">
        <v>78</v>
      </c>
      <c r="I12" s="6" t="s">
        <v>105</v>
      </c>
      <c r="J12" s="6">
        <v>15</v>
      </c>
      <c r="K12" s="6" t="s">
        <v>31</v>
      </c>
      <c r="L12" s="12" t="s">
        <v>23</v>
      </c>
      <c r="M12" s="22" t="str">
        <f>CONCATENATE(F12,"""",G12,"""",",","""",H12,""",",I12,",",J12,")")</f>
        <v>SelectSingle("Sensor-00-5","P",par["date"],15)</v>
      </c>
      <c r="N12" s="22" t="str">
        <f t="shared" si="1"/>
        <v>&lt;col5 id="P-001-005"&gt;SelectSingle("Sensor-00-5","P",par["date"],15)&lt;/col5&gt;&lt;/row&gt;</v>
      </c>
    </row>
    <row r="13" spans="2:15" x14ac:dyDescent="0.25">
      <c r="B13" s="6" t="s">
        <v>73</v>
      </c>
      <c r="C13" s="6"/>
      <c r="D13" s="6">
        <v>1</v>
      </c>
      <c r="E13" s="6" t="s">
        <v>32</v>
      </c>
      <c r="F13" s="6" t="s">
        <v>103</v>
      </c>
      <c r="G13" s="6" t="s">
        <v>83</v>
      </c>
      <c r="H13" s="6" t="s">
        <v>78</v>
      </c>
      <c r="I13" s="6" t="s">
        <v>105</v>
      </c>
      <c r="J13" s="6">
        <v>17</v>
      </c>
      <c r="K13" s="6" t="s">
        <v>33</v>
      </c>
      <c r="L13" s="12" t="s">
        <v>23</v>
      </c>
      <c r="M13" s="22" t="str">
        <f>CONCATENATE(F13,"""",G13,"""",",","""",H13,""",",I13,",",J13,")")</f>
        <v>SelectSingle("Sensor-00-6","P",par["date"],17)</v>
      </c>
      <c r="N13" s="22" t="str">
        <f t="shared" si="1"/>
        <v>&lt;row&gt;&lt;col1 id="P-001-006"&gt;SelectSingle("Sensor-00-6","P",par["date"],17)&lt;/col1&gt;</v>
      </c>
    </row>
    <row r="14" spans="2:15" x14ac:dyDescent="0.25">
      <c r="B14" s="6"/>
      <c r="C14" s="6"/>
      <c r="D14" s="6">
        <v>2</v>
      </c>
      <c r="E14" s="6" t="s">
        <v>34</v>
      </c>
      <c r="F14" s="6" t="s">
        <v>103</v>
      </c>
      <c r="G14" s="6" t="s">
        <v>84</v>
      </c>
      <c r="H14" s="6" t="s">
        <v>78</v>
      </c>
      <c r="I14" s="6" t="s">
        <v>105</v>
      </c>
      <c r="J14" s="6">
        <v>19</v>
      </c>
      <c r="K14" s="6" t="s">
        <v>35</v>
      </c>
      <c r="L14" s="12" t="s">
        <v>23</v>
      </c>
      <c r="M14" s="22" t="str">
        <f>CONCATENATE(F14,"""",G14,"""",",","""",H14,""",",I14,",",J14,")")</f>
        <v>SelectSingle("Sensor-00-7","P",par["date"],19)</v>
      </c>
      <c r="N14" s="22" t="str">
        <f t="shared" si="1"/>
        <v>&lt;col2 id="P-001-007"&gt;SelectSingle("Sensor-00-7","P",par["date"],19)&lt;/col2&gt;</v>
      </c>
    </row>
    <row r="15" spans="2:15" x14ac:dyDescent="0.25">
      <c r="B15" s="6"/>
      <c r="C15" s="6"/>
      <c r="D15" s="6">
        <v>3</v>
      </c>
      <c r="E15" s="6" t="s">
        <v>36</v>
      </c>
      <c r="F15" s="6" t="s">
        <v>103</v>
      </c>
      <c r="G15" s="6" t="s">
        <v>85</v>
      </c>
      <c r="H15" s="6" t="s">
        <v>78</v>
      </c>
      <c r="I15" s="6" t="s">
        <v>105</v>
      </c>
      <c r="J15" s="6">
        <v>21</v>
      </c>
      <c r="K15" s="6" t="s">
        <v>37</v>
      </c>
      <c r="L15" s="12" t="s">
        <v>23</v>
      </c>
      <c r="M15" s="22" t="str">
        <f>CONCATENATE(F15,"""",G15,"""",",","""",H15,""",",I15,",",J15,")")</f>
        <v>SelectSingle("Sensor-00-8","P",par["date"],21)</v>
      </c>
      <c r="N15" s="22" t="str">
        <f t="shared" si="1"/>
        <v>&lt;col3 id="P-001-008"&gt;SelectSingle("Sensor-00-8","P",par["date"],21)&lt;/col3&gt;</v>
      </c>
    </row>
    <row r="16" spans="2:15" x14ac:dyDescent="0.25">
      <c r="B16" s="6"/>
      <c r="C16" s="6"/>
      <c r="D16" s="6">
        <v>4</v>
      </c>
      <c r="E16" s="6" t="s">
        <v>38</v>
      </c>
      <c r="F16" s="6" t="s">
        <v>103</v>
      </c>
      <c r="G16" s="6" t="s">
        <v>86</v>
      </c>
      <c r="H16" s="6" t="s">
        <v>78</v>
      </c>
      <c r="I16" s="6" t="s">
        <v>105</v>
      </c>
      <c r="J16" s="6">
        <v>7</v>
      </c>
      <c r="K16" s="6" t="s">
        <v>39</v>
      </c>
      <c r="L16" s="12" t="s">
        <v>23</v>
      </c>
      <c r="M16" s="22" t="str">
        <f>CONCATENATE(F16,"""",G16,"""",",","""",H16,""",",I16,",",J16,")")</f>
        <v>SelectSingle("Sensor-00-9","P",par["date"],7)</v>
      </c>
      <c r="N16" s="22" t="str">
        <f t="shared" si="1"/>
        <v>&lt;col4 id="P-001-009"&gt;SelectSingle("Sensor-00-9","P",par["date"],7)&lt;/col4&gt;</v>
      </c>
    </row>
    <row r="17" spans="2:14" x14ac:dyDescent="0.25">
      <c r="B17" s="6"/>
      <c r="C17" s="6" t="s">
        <v>72</v>
      </c>
      <c r="D17" s="6">
        <v>5</v>
      </c>
      <c r="E17" s="6" t="s">
        <v>40</v>
      </c>
      <c r="F17" s="6" t="s">
        <v>103</v>
      </c>
      <c r="G17" s="6" t="s">
        <v>87</v>
      </c>
      <c r="H17" s="6" t="s">
        <v>78</v>
      </c>
      <c r="I17" s="6" t="s">
        <v>105</v>
      </c>
      <c r="J17" s="6">
        <v>9</v>
      </c>
      <c r="K17" s="6" t="s">
        <v>41</v>
      </c>
      <c r="L17" s="12" t="s">
        <v>23</v>
      </c>
      <c r="M17" s="22" t="str">
        <f>CONCATENATE(F17,"""",G17,"""",",","""",H17,""",",I17,",",J17,")")</f>
        <v>SelectSingle("Sensor-00-10","P",par["date"],9)</v>
      </c>
      <c r="N17" s="22" t="str">
        <f t="shared" si="1"/>
        <v>&lt;col5 id="P-001-010"&gt;SelectSingle("Sensor-00-10","P",par["date"],9)&lt;/col5&gt;&lt;/row&gt;</v>
      </c>
    </row>
    <row r="18" spans="2:14" x14ac:dyDescent="0.25">
      <c r="B18" s="6" t="s">
        <v>73</v>
      </c>
      <c r="C18" s="6"/>
      <c r="D18" s="6">
        <v>1</v>
      </c>
      <c r="E18" s="6" t="s">
        <v>42</v>
      </c>
      <c r="F18" s="6" t="s">
        <v>103</v>
      </c>
      <c r="G18" s="6" t="s">
        <v>88</v>
      </c>
      <c r="H18" s="6" t="s">
        <v>78</v>
      </c>
      <c r="I18" s="6" t="s">
        <v>105</v>
      </c>
      <c r="J18" s="6">
        <v>11</v>
      </c>
      <c r="K18" s="6" t="s">
        <v>43</v>
      </c>
      <c r="L18" s="12" t="s">
        <v>44</v>
      </c>
      <c r="M18" s="22" t="str">
        <f>CONCATENATE(F18,"""",G18,"""",",","""",H18,""",",I18,",",J18,")")</f>
        <v>SelectSingle("Sensor-00-11","P",par["date"],11)</v>
      </c>
      <c r="N18" s="22" t="str">
        <f t="shared" si="1"/>
        <v>&lt;row&gt;&lt;col1 id="P-001-011"&gt;SelectSingle("Sensor-00-11","P",par["date"],11)&lt;/col1&gt;</v>
      </c>
    </row>
    <row r="19" spans="2:14" x14ac:dyDescent="0.25">
      <c r="B19" s="6"/>
      <c r="C19" s="6"/>
      <c r="D19" s="6">
        <v>2</v>
      </c>
      <c r="E19" s="6" t="s">
        <v>45</v>
      </c>
      <c r="F19" s="6" t="s">
        <v>103</v>
      </c>
      <c r="G19" s="6" t="s">
        <v>89</v>
      </c>
      <c r="H19" s="6" t="s">
        <v>78</v>
      </c>
      <c r="I19" s="6" t="s">
        <v>105</v>
      </c>
      <c r="J19" s="6">
        <v>13</v>
      </c>
      <c r="K19" s="6" t="s">
        <v>46</v>
      </c>
      <c r="L19" s="12" t="s">
        <v>44</v>
      </c>
      <c r="M19" s="22" t="str">
        <f>CONCATENATE(F19,"""",G19,"""",",","""",H19,""",",I19,",",J19,")")</f>
        <v>SelectSingle("Sensor-00-12","P",par["date"],13)</v>
      </c>
      <c r="N19" s="22" t="str">
        <f t="shared" si="1"/>
        <v>&lt;col2 id="P-001-012"&gt;SelectSingle("Sensor-00-12","P",par["date"],13)&lt;/col2&gt;</v>
      </c>
    </row>
    <row r="20" spans="2:14" x14ac:dyDescent="0.25">
      <c r="B20" s="6"/>
      <c r="C20" s="6"/>
      <c r="D20" s="6">
        <v>3</v>
      </c>
      <c r="E20" s="6" t="s">
        <v>47</v>
      </c>
      <c r="F20" s="6" t="s">
        <v>103</v>
      </c>
      <c r="G20" s="6" t="s">
        <v>90</v>
      </c>
      <c r="H20" s="6" t="s">
        <v>78</v>
      </c>
      <c r="I20" s="6" t="s">
        <v>105</v>
      </c>
      <c r="J20" s="6">
        <v>15</v>
      </c>
      <c r="K20" s="6" t="s">
        <v>48</v>
      </c>
      <c r="L20" s="12" t="s">
        <v>44</v>
      </c>
      <c r="M20" s="22" t="str">
        <f>CONCATENATE(F20,"""",G20,"""",",","""",H20,""",",I20,",",J20,")")</f>
        <v>SelectSingle("Sensor-00-13","P",par["date"],15)</v>
      </c>
      <c r="N20" s="22" t="str">
        <f t="shared" si="1"/>
        <v>&lt;col3 id="P-001-013"&gt;SelectSingle("Sensor-00-13","P",par["date"],15)&lt;/col3&gt;</v>
      </c>
    </row>
    <row r="21" spans="2:14" x14ac:dyDescent="0.25">
      <c r="B21" s="6"/>
      <c r="C21" s="6"/>
      <c r="D21" s="6">
        <v>4</v>
      </c>
      <c r="E21" s="6" t="s">
        <v>49</v>
      </c>
      <c r="F21" s="6" t="s">
        <v>103</v>
      </c>
      <c r="G21" s="6" t="s">
        <v>91</v>
      </c>
      <c r="H21" s="6" t="s">
        <v>78</v>
      </c>
      <c r="I21" s="6" t="s">
        <v>105</v>
      </c>
      <c r="J21" s="6">
        <v>17</v>
      </c>
      <c r="K21" s="6" t="s">
        <v>50</v>
      </c>
      <c r="L21" s="12" t="s">
        <v>44</v>
      </c>
      <c r="M21" s="22" t="str">
        <f>CONCATENATE(F21,"""",G21,"""",",","""",H21,""",",I21,",",J21,")")</f>
        <v>SelectSingle("Sensor-00-14","P",par["date"],17)</v>
      </c>
      <c r="N21" s="22" t="str">
        <f t="shared" si="1"/>
        <v>&lt;col4 id="P-001-014"&gt;SelectSingle("Sensor-00-14","P",par["date"],17)&lt;/col4&gt;</v>
      </c>
    </row>
    <row r="22" spans="2:14" x14ac:dyDescent="0.25">
      <c r="B22" s="6"/>
      <c r="C22" s="6" t="s">
        <v>72</v>
      </c>
      <c r="D22" s="6">
        <v>5</v>
      </c>
      <c r="E22" s="6" t="s">
        <v>51</v>
      </c>
      <c r="F22" s="6" t="s">
        <v>103</v>
      </c>
      <c r="G22" s="6" t="s">
        <v>92</v>
      </c>
      <c r="H22" s="6" t="s">
        <v>78</v>
      </c>
      <c r="I22" s="6" t="s">
        <v>105</v>
      </c>
      <c r="J22" s="6">
        <v>19</v>
      </c>
      <c r="K22" s="6" t="s">
        <v>52</v>
      </c>
      <c r="L22" s="12" t="s">
        <v>44</v>
      </c>
      <c r="M22" s="22" t="str">
        <f>CONCATENATE(F22,"""",G22,"""",",","""",H22,""",",I22,",",J22,")")</f>
        <v>SelectSingle("Sensor-00-15","P",par["date"],19)</v>
      </c>
      <c r="N22" s="22" t="str">
        <f t="shared" si="1"/>
        <v>&lt;col5 id="P-001-015"&gt;SelectSingle("Sensor-00-15","P",par["date"],19)&lt;/col5&gt;&lt;/row&gt;</v>
      </c>
    </row>
    <row r="23" spans="2:14" x14ac:dyDescent="0.25">
      <c r="B23" s="6" t="s">
        <v>73</v>
      </c>
      <c r="C23" s="6"/>
      <c r="D23" s="6">
        <v>1</v>
      </c>
      <c r="E23" s="6" t="s">
        <v>53</v>
      </c>
      <c r="F23" s="6" t="s">
        <v>103</v>
      </c>
      <c r="G23" s="6" t="s">
        <v>88</v>
      </c>
      <c r="H23" s="6" t="s">
        <v>78</v>
      </c>
      <c r="I23" s="6" t="s">
        <v>105</v>
      </c>
      <c r="J23" s="6">
        <v>11</v>
      </c>
      <c r="K23" s="6" t="s">
        <v>43</v>
      </c>
      <c r="L23" s="12" t="s">
        <v>44</v>
      </c>
      <c r="M23" s="22" t="str">
        <f>CONCATENATE(F23,"""",G23,"""",",","""",H23,""",",I23,",",J23,")")</f>
        <v>SelectSingle("Sensor-00-11","P",par["date"],11)</v>
      </c>
      <c r="N23" s="22" t="str">
        <f t="shared" si="1"/>
        <v>&lt;row&gt;&lt;col1 id="P-001-016"&gt;SelectSingle("Sensor-00-11","P",par["date"],11)&lt;/col1&gt;</v>
      </c>
    </row>
    <row r="24" spans="2:14" x14ac:dyDescent="0.25">
      <c r="B24" s="6"/>
      <c r="C24" s="6"/>
      <c r="D24" s="6">
        <v>2</v>
      </c>
      <c r="E24" s="6" t="s">
        <v>55</v>
      </c>
      <c r="F24" s="6" t="s">
        <v>103</v>
      </c>
      <c r="G24" s="6" t="s">
        <v>89</v>
      </c>
      <c r="H24" s="6" t="s">
        <v>78</v>
      </c>
      <c r="I24" s="6" t="s">
        <v>105</v>
      </c>
      <c r="J24" s="6">
        <v>13</v>
      </c>
      <c r="K24" s="6" t="s">
        <v>46</v>
      </c>
      <c r="L24" s="12" t="s">
        <v>44</v>
      </c>
      <c r="M24" s="22" t="str">
        <f>CONCATENATE(F24,"""",G24,"""",",","""",H24,""",",I24,",",J24,")")</f>
        <v>SelectSingle("Sensor-00-12","P",par["date"],13)</v>
      </c>
      <c r="N24" s="22" t="str">
        <f t="shared" si="1"/>
        <v>&lt;col2 id="P-001-017"&gt;SelectSingle("Sensor-00-12","P",par["date"],13)&lt;/col2&gt;</v>
      </c>
    </row>
    <row r="25" spans="2:14" x14ac:dyDescent="0.25">
      <c r="B25" s="6"/>
      <c r="C25" s="6"/>
      <c r="D25" s="6">
        <v>3</v>
      </c>
      <c r="E25" s="6" t="s">
        <v>58</v>
      </c>
      <c r="F25" s="6" t="s">
        <v>103</v>
      </c>
      <c r="G25" s="6" t="s">
        <v>90</v>
      </c>
      <c r="H25" s="6" t="s">
        <v>78</v>
      </c>
      <c r="I25" s="6" t="s">
        <v>105</v>
      </c>
      <c r="J25" s="6">
        <v>15</v>
      </c>
      <c r="K25" s="6" t="s">
        <v>48</v>
      </c>
      <c r="L25" s="12" t="s">
        <v>44</v>
      </c>
      <c r="M25" s="22" t="str">
        <f>CONCATENATE(F25,"""",G25,"""",",","""",H25,""",",I25,",",J25,")")</f>
        <v>SelectSingle("Sensor-00-13","P",par["date"],15)</v>
      </c>
      <c r="N25" s="22" t="str">
        <f t="shared" si="1"/>
        <v>&lt;col3 id="P-001-018"&gt;SelectSingle("Sensor-00-13","P",par["date"],15)&lt;/col3&gt;</v>
      </c>
    </row>
    <row r="26" spans="2:14" x14ac:dyDescent="0.25">
      <c r="B26" s="6"/>
      <c r="C26" s="6"/>
      <c r="D26" s="6">
        <v>4</v>
      </c>
      <c r="E26" s="6" t="s">
        <v>60</v>
      </c>
      <c r="F26" s="6" t="s">
        <v>103</v>
      </c>
      <c r="G26" s="6" t="s">
        <v>91</v>
      </c>
      <c r="H26" s="6" t="s">
        <v>78</v>
      </c>
      <c r="I26" s="6" t="s">
        <v>105</v>
      </c>
      <c r="J26" s="6">
        <v>17</v>
      </c>
      <c r="K26" s="6" t="s">
        <v>50</v>
      </c>
      <c r="L26" s="12" t="s">
        <v>44</v>
      </c>
      <c r="M26" s="22" t="str">
        <f>CONCATENATE(F26,"""",G26,"""",",","""",H26,""",",I26,",",J26,")")</f>
        <v>SelectSingle("Sensor-00-14","P",par["date"],17)</v>
      </c>
      <c r="N26" s="22" t="str">
        <f t="shared" si="1"/>
        <v>&lt;col4 id="P-001-019"&gt;SelectSingle("Sensor-00-14","P",par["date"],17)&lt;/col4&gt;</v>
      </c>
    </row>
    <row r="27" spans="2:14" x14ac:dyDescent="0.25">
      <c r="B27" s="6"/>
      <c r="C27" s="6" t="s">
        <v>72</v>
      </c>
      <c r="D27" s="6">
        <v>5</v>
      </c>
      <c r="E27" s="6" t="s">
        <v>62</v>
      </c>
      <c r="F27" s="6" t="s">
        <v>103</v>
      </c>
      <c r="G27" s="6" t="s">
        <v>92</v>
      </c>
      <c r="H27" s="6" t="s">
        <v>78</v>
      </c>
      <c r="I27" s="6" t="s">
        <v>105</v>
      </c>
      <c r="J27" s="6">
        <v>19</v>
      </c>
      <c r="K27" s="6" t="s">
        <v>52</v>
      </c>
      <c r="L27" s="12" t="s">
        <v>44</v>
      </c>
      <c r="M27" s="22" t="str">
        <f>CONCATENATE(F27,"""",G27,"""",",","""",H27,""",",I27,",",J27,")")</f>
        <v>SelectSingle("Sensor-00-15","P",par["date"],19)</v>
      </c>
      <c r="N27" s="22" t="str">
        <f t="shared" si="1"/>
        <v>&lt;col5 id="P-001-020"&gt;SelectSingle("Sensor-00-15","P",par["date"],19)&lt;/col5&gt;&lt;/row&gt;</v>
      </c>
    </row>
    <row r="28" spans="2:14" x14ac:dyDescent="0.25">
      <c r="B28" s="6" t="s">
        <v>73</v>
      </c>
      <c r="C28" s="6"/>
      <c r="D28" s="6">
        <v>1</v>
      </c>
      <c r="E28" s="6" t="s">
        <v>64</v>
      </c>
      <c r="F28" s="6" t="s">
        <v>103</v>
      </c>
      <c r="G28" s="6" t="s">
        <v>88</v>
      </c>
      <c r="H28" s="6" t="s">
        <v>78</v>
      </c>
      <c r="I28" s="6" t="s">
        <v>105</v>
      </c>
      <c r="J28" s="6">
        <v>11</v>
      </c>
      <c r="K28" s="6" t="s">
        <v>43</v>
      </c>
      <c r="L28" s="12" t="s">
        <v>44</v>
      </c>
      <c r="M28" s="22" t="str">
        <f>CONCATENATE(F28,"""",G28,"""",",","""",H28,""",",I28,",",J28,")")</f>
        <v>SelectSingle("Sensor-00-11","P",par["date"],11)</v>
      </c>
      <c r="N28" s="22" t="str">
        <f t="shared" si="1"/>
        <v>&lt;row&gt;&lt;col1 id="P-001-021"&gt;SelectSingle("Sensor-00-11","P",par["date"],11)&lt;/col1&gt;</v>
      </c>
    </row>
    <row r="29" spans="2:14" x14ac:dyDescent="0.25">
      <c r="B29" s="6"/>
      <c r="C29" s="6"/>
      <c r="D29" s="6">
        <v>2</v>
      </c>
      <c r="E29" s="6" t="s">
        <v>66</v>
      </c>
      <c r="F29" s="6" t="s">
        <v>103</v>
      </c>
      <c r="G29" s="6" t="s">
        <v>89</v>
      </c>
      <c r="H29" s="6" t="s">
        <v>78</v>
      </c>
      <c r="I29" s="6" t="s">
        <v>105</v>
      </c>
      <c r="J29" s="6">
        <v>13</v>
      </c>
      <c r="K29" s="6" t="s">
        <v>46</v>
      </c>
      <c r="L29" s="12" t="s">
        <v>44</v>
      </c>
      <c r="M29" s="22" t="str">
        <f>CONCATENATE(F29,"""",G29,"""",",","""",H29,""",",I29,",",J29,")")</f>
        <v>SelectSingle("Sensor-00-12","P",par["date"],13)</v>
      </c>
      <c r="N29" s="22" t="str">
        <f t="shared" si="1"/>
        <v>&lt;col2 id="P-001-022"&gt;SelectSingle("Sensor-00-12","P",par["date"],13)&lt;/col2&gt;</v>
      </c>
    </row>
    <row r="30" spans="2:14" x14ac:dyDescent="0.25">
      <c r="B30" s="6"/>
      <c r="C30" s="6"/>
      <c r="D30" s="6">
        <v>3</v>
      </c>
      <c r="E30" s="6" t="s">
        <v>68</v>
      </c>
      <c r="F30" s="6" t="s">
        <v>103</v>
      </c>
      <c r="G30" s="6" t="s">
        <v>90</v>
      </c>
      <c r="H30" s="6" t="s">
        <v>78</v>
      </c>
      <c r="I30" s="6" t="s">
        <v>105</v>
      </c>
      <c r="J30" s="6">
        <v>15</v>
      </c>
      <c r="K30" s="6" t="s">
        <v>48</v>
      </c>
      <c r="L30" s="12" t="s">
        <v>44</v>
      </c>
      <c r="M30" s="22" t="str">
        <f>CONCATENATE(F30,"""",G30,"""",",","""",H30,""",",I30,",",J30,")")</f>
        <v>SelectSingle("Sensor-00-13","P",par["date"],15)</v>
      </c>
      <c r="N30" s="22" t="str">
        <f t="shared" si="1"/>
        <v>&lt;col3 id="P-001-023"&gt;SelectSingle("Sensor-00-13","P",par["date"],15)&lt;/col3&gt;</v>
      </c>
    </row>
    <row r="31" spans="2:14" x14ac:dyDescent="0.25">
      <c r="B31" s="6"/>
      <c r="C31" s="6"/>
      <c r="D31" s="6">
        <v>4</v>
      </c>
      <c r="E31" s="6" t="s">
        <v>70</v>
      </c>
      <c r="F31" s="6" t="s">
        <v>103</v>
      </c>
      <c r="G31" s="6" t="s">
        <v>91</v>
      </c>
      <c r="H31" s="6" t="s">
        <v>78</v>
      </c>
      <c r="I31" s="6" t="s">
        <v>105</v>
      </c>
      <c r="J31" s="6">
        <v>17</v>
      </c>
      <c r="K31" s="6" t="s">
        <v>50</v>
      </c>
      <c r="L31" s="12" t="s">
        <v>44</v>
      </c>
      <c r="M31" s="22" t="str">
        <f>CONCATENATE(F31,"""",G31,"""",",","""",H31,""",",I31,",",J31,")")</f>
        <v>SelectSingle("Sensor-00-14","P",par["date"],17)</v>
      </c>
      <c r="N31" s="22" t="str">
        <f t="shared" si="1"/>
        <v>&lt;col4 id="P-001-024"&gt;SelectSingle("Sensor-00-14","P",par["date"],17)&lt;/col4&gt;</v>
      </c>
    </row>
    <row r="32" spans="2:14" x14ac:dyDescent="0.25">
      <c r="B32" s="6"/>
      <c r="C32" s="6" t="s">
        <v>72</v>
      </c>
      <c r="D32" s="6">
        <v>5</v>
      </c>
      <c r="E32" s="6" t="s">
        <v>74</v>
      </c>
      <c r="F32" s="6" t="s">
        <v>103</v>
      </c>
      <c r="G32" s="6" t="s">
        <v>92</v>
      </c>
      <c r="H32" s="6" t="s">
        <v>78</v>
      </c>
      <c r="I32" s="6" t="s">
        <v>105</v>
      </c>
      <c r="J32" s="6">
        <v>19</v>
      </c>
      <c r="K32" s="6" t="s">
        <v>52</v>
      </c>
      <c r="L32" s="12" t="s">
        <v>44</v>
      </c>
      <c r="M32" s="22" t="str">
        <f>CONCATENATE(F32,"""",G32,"""",",","""",H32,""",",I32,",",J32,")")</f>
        <v>SelectSingle("Sensor-00-15","P",par["date"],19)</v>
      </c>
      <c r="N32" s="22" t="str">
        <f t="shared" si="1"/>
        <v>&lt;col5 id="P-001-025"&gt;SelectSingle("Sensor-00-15","P",par["date"],19)&lt;/col5&gt;&lt;/row&gt;</v>
      </c>
    </row>
    <row r="33" spans="2:14" x14ac:dyDescent="0.25">
      <c r="B33" s="6" t="s">
        <v>73</v>
      </c>
      <c r="C33" s="6"/>
      <c r="D33" s="6">
        <v>1</v>
      </c>
      <c r="E33" s="6" t="s">
        <v>162</v>
      </c>
      <c r="F33" s="6" t="s">
        <v>103</v>
      </c>
      <c r="G33" s="6" t="s">
        <v>93</v>
      </c>
      <c r="H33" s="6" t="s">
        <v>78</v>
      </c>
      <c r="I33" s="6" t="s">
        <v>105</v>
      </c>
      <c r="J33" s="6">
        <v>21</v>
      </c>
      <c r="K33" s="6" t="s">
        <v>54</v>
      </c>
      <c r="L33" s="12" t="s">
        <v>44</v>
      </c>
      <c r="M33" s="22" t="str">
        <f>CONCATENATE(F33,"""",G33,"""",",","""",H33,""",",I33,",",J33,")")</f>
        <v>SelectSingle("Sensor-00-16","P",par["date"],21)</v>
      </c>
      <c r="N33" s="22" t="str">
        <f t="shared" si="1"/>
        <v>&lt;row&gt;&lt;col1 id="P-001-026"&gt;SelectSingle("Sensor-00-16","P",par["date"],21)&lt;/col1&gt;</v>
      </c>
    </row>
    <row r="34" spans="2:14" x14ac:dyDescent="0.25">
      <c r="B34" s="6"/>
      <c r="C34" s="6"/>
      <c r="D34" s="6">
        <v>2</v>
      </c>
      <c r="E34" s="6" t="s">
        <v>163</v>
      </c>
      <c r="F34" s="6" t="s">
        <v>103</v>
      </c>
      <c r="G34" s="6" t="s">
        <v>94</v>
      </c>
      <c r="H34" s="6" t="s">
        <v>78</v>
      </c>
      <c r="I34" s="6" t="s">
        <v>105</v>
      </c>
      <c r="J34" s="6">
        <v>7</v>
      </c>
      <c r="K34" s="6" t="s">
        <v>56</v>
      </c>
      <c r="L34" s="12" t="s">
        <v>57</v>
      </c>
      <c r="M34" s="22" t="str">
        <f>CONCATENATE(F34,"""",G34,"""",",","""",H34,""",",I34,",",J34,")")</f>
        <v>SelectSingle("Sensor-00-17","P",par["date"],7)</v>
      </c>
      <c r="N34" s="22" t="str">
        <f t="shared" si="1"/>
        <v>&lt;col2 id="P-001-027"&gt;SelectSingle("Sensor-00-17","P",par["date"],7)&lt;/col2&gt;</v>
      </c>
    </row>
    <row r="35" spans="2:14" x14ac:dyDescent="0.25">
      <c r="B35" s="6"/>
      <c r="C35" s="6"/>
      <c r="D35" s="6">
        <v>3</v>
      </c>
      <c r="E35" s="6" t="s">
        <v>164</v>
      </c>
      <c r="F35" s="6" t="s">
        <v>103</v>
      </c>
      <c r="G35" s="6" t="s">
        <v>95</v>
      </c>
      <c r="H35" s="6" t="s">
        <v>78</v>
      </c>
      <c r="I35" s="6" t="s">
        <v>105</v>
      </c>
      <c r="J35" s="6">
        <v>9</v>
      </c>
      <c r="K35" s="6" t="s">
        <v>59</v>
      </c>
      <c r="L35" s="12" t="s">
        <v>57</v>
      </c>
      <c r="M35" s="22" t="str">
        <f>CONCATENATE(F35,"""",G35,"""",",","""",H35,""",",I35,",",J35,")")</f>
        <v>SelectSingle("Sensor-00-18","P",par["date"],9)</v>
      </c>
      <c r="N35" s="22" t="str">
        <f t="shared" si="1"/>
        <v>&lt;col3 id="P-001-028"&gt;SelectSingle("Sensor-00-18","P",par["date"],9)&lt;/col3&gt;</v>
      </c>
    </row>
    <row r="36" spans="2:14" x14ac:dyDescent="0.25">
      <c r="B36" s="6"/>
      <c r="C36" s="6"/>
      <c r="D36" s="6">
        <v>4</v>
      </c>
      <c r="E36" s="6" t="s">
        <v>165</v>
      </c>
      <c r="F36" s="6" t="s">
        <v>103</v>
      </c>
      <c r="G36" s="6" t="s">
        <v>96</v>
      </c>
      <c r="H36" s="6" t="s">
        <v>78</v>
      </c>
      <c r="I36" s="6" t="s">
        <v>105</v>
      </c>
      <c r="J36" s="6">
        <v>11</v>
      </c>
      <c r="K36" s="6" t="s">
        <v>61</v>
      </c>
      <c r="L36" s="12" t="s">
        <v>57</v>
      </c>
      <c r="M36" s="22" t="str">
        <f>CONCATENATE(F36,"""",G36,"""",",","""",H36,""",",I36,",",J36,")")</f>
        <v>SelectSingle("Sensor-00-19","P",par["date"],11)</v>
      </c>
      <c r="N36" s="22" t="str">
        <f t="shared" si="1"/>
        <v>&lt;col4 id="P-001-029"&gt;SelectSingle("Sensor-00-19","P",par["date"],11)&lt;/col4&gt;</v>
      </c>
    </row>
    <row r="37" spans="2:14" x14ac:dyDescent="0.25">
      <c r="B37" s="6"/>
      <c r="C37" s="6" t="s">
        <v>72</v>
      </c>
      <c r="D37" s="6">
        <v>5</v>
      </c>
      <c r="E37" s="6" t="s">
        <v>166</v>
      </c>
      <c r="F37" s="6" t="s">
        <v>103</v>
      </c>
      <c r="G37" s="6" t="s">
        <v>97</v>
      </c>
      <c r="H37" s="6" t="s">
        <v>78</v>
      </c>
      <c r="I37" s="6" t="s">
        <v>105</v>
      </c>
      <c r="J37" s="6">
        <v>13</v>
      </c>
      <c r="K37" s="6" t="s">
        <v>63</v>
      </c>
      <c r="L37" s="12" t="s">
        <v>57</v>
      </c>
      <c r="M37" s="22" t="str">
        <f>CONCATENATE(F37,"""",G37,"""",",","""",H37,""",",I37,",",J37,")")</f>
        <v>SelectSingle("Sensor-00-20","P",par["date"],13)</v>
      </c>
      <c r="N37" s="22" t="str">
        <f t="shared" si="1"/>
        <v>&lt;col5 id="P-001-030"&gt;SelectSingle("Sensor-00-20","P",par["date"],13)&lt;/col5&gt;&lt;/row&gt;</v>
      </c>
    </row>
    <row r="38" spans="2:14" x14ac:dyDescent="0.25">
      <c r="B38" s="6" t="s">
        <v>73</v>
      </c>
      <c r="C38" s="6"/>
      <c r="D38" s="6">
        <v>1</v>
      </c>
      <c r="E38" s="6" t="s">
        <v>167</v>
      </c>
      <c r="F38" s="6" t="s">
        <v>103</v>
      </c>
      <c r="G38" s="6" t="s">
        <v>77</v>
      </c>
      <c r="H38" s="6" t="s">
        <v>78</v>
      </c>
      <c r="I38" s="6" t="s">
        <v>105</v>
      </c>
      <c r="J38" s="6">
        <v>7</v>
      </c>
      <c r="K38" s="6" t="s">
        <v>22</v>
      </c>
      <c r="L38" s="12" t="s">
        <v>23</v>
      </c>
      <c r="M38" s="22" t="str">
        <f>CONCATENATE(F38,"""",G38,"""",",","""",H38,""",",I38,",",J38,")")</f>
        <v>SelectSingle("Sensor-00-1","P",par["date"],7)</v>
      </c>
      <c r="N38" s="22" t="str">
        <f>CONCATENATE(B38,"&lt;col",D38," id=""",E38,"""&gt;",M38,"&lt;/col",D38,"&gt;",C38)</f>
        <v>&lt;row&gt;&lt;col1 id="P-001-031"&gt;SelectSingle("Sensor-00-1","P",par["date"],7)&lt;/col1&gt;</v>
      </c>
    </row>
    <row r="39" spans="2:14" x14ac:dyDescent="0.25">
      <c r="B39" s="6"/>
      <c r="C39" s="6"/>
      <c r="D39" s="6">
        <v>2</v>
      </c>
      <c r="E39" s="6" t="s">
        <v>168</v>
      </c>
      <c r="F39" s="6" t="s">
        <v>103</v>
      </c>
      <c r="G39" s="6" t="s">
        <v>79</v>
      </c>
      <c r="H39" s="6" t="s">
        <v>78</v>
      </c>
      <c r="I39" s="6" t="s">
        <v>105</v>
      </c>
      <c r="J39" s="6">
        <v>9</v>
      </c>
      <c r="K39" s="6" t="s">
        <v>25</v>
      </c>
      <c r="L39" s="12" t="s">
        <v>23</v>
      </c>
      <c r="M39" s="22" t="str">
        <f>CONCATENATE(F39,"""",G39,"""",",","""",H39,""",",I39,",",J39,")")</f>
        <v>SelectSingle("Sensor-00-2","P",par["date"],9)</v>
      </c>
      <c r="N39" s="22" t="str">
        <f t="shared" ref="N39:N72" si="2">CONCATENATE(B39,"&lt;col",D39," id=""",E39,"""&gt;",M39,"&lt;/col",D39,"&gt;",C39)</f>
        <v>&lt;col2 id="P-001-032"&gt;SelectSingle("Sensor-00-2","P",par["date"],9)&lt;/col2&gt;</v>
      </c>
    </row>
    <row r="40" spans="2:14" x14ac:dyDescent="0.25">
      <c r="B40" s="6"/>
      <c r="C40" s="6"/>
      <c r="D40" s="6">
        <v>3</v>
      </c>
      <c r="E40" s="6" t="s">
        <v>169</v>
      </c>
      <c r="F40" s="6" t="s">
        <v>103</v>
      </c>
      <c r="G40" s="6" t="s">
        <v>80</v>
      </c>
      <c r="H40" s="6" t="s">
        <v>78</v>
      </c>
      <c r="I40" s="6" t="s">
        <v>105</v>
      </c>
      <c r="J40" s="6">
        <v>11</v>
      </c>
      <c r="K40" s="6" t="s">
        <v>27</v>
      </c>
      <c r="L40" s="12" t="s">
        <v>23</v>
      </c>
      <c r="M40" s="22" t="str">
        <f>CONCATENATE(F40,"""",G40,"""",",","""",H40,""",",I40,",",J40,")")</f>
        <v>SelectSingle("Sensor-00-3","P",par["date"],11)</v>
      </c>
      <c r="N40" s="22" t="str">
        <f t="shared" si="2"/>
        <v>&lt;col3 id="P-001-033"&gt;SelectSingle("Sensor-00-3","P",par["date"],11)&lt;/col3&gt;</v>
      </c>
    </row>
    <row r="41" spans="2:14" x14ac:dyDescent="0.25">
      <c r="B41" s="6"/>
      <c r="C41" s="6"/>
      <c r="D41" s="6">
        <v>4</v>
      </c>
      <c r="E41" s="6" t="s">
        <v>170</v>
      </c>
      <c r="F41" s="6" t="s">
        <v>103</v>
      </c>
      <c r="G41" s="6" t="s">
        <v>81</v>
      </c>
      <c r="H41" s="6" t="s">
        <v>78</v>
      </c>
      <c r="I41" s="6" t="s">
        <v>105</v>
      </c>
      <c r="J41" s="6">
        <v>13</v>
      </c>
      <c r="K41" s="6" t="s">
        <v>29</v>
      </c>
      <c r="L41" s="12" t="s">
        <v>23</v>
      </c>
      <c r="M41" s="22" t="str">
        <f>CONCATENATE(F41,"""",G41,"""",",","""",H41,""",",I41,",",J41,")")</f>
        <v>SelectSingle("Sensor-00-4","P",par["date"],13)</v>
      </c>
      <c r="N41" s="22" t="str">
        <f t="shared" si="2"/>
        <v>&lt;col4 id="P-001-034"&gt;SelectSingle("Sensor-00-4","P",par["date"],13)&lt;/col4&gt;</v>
      </c>
    </row>
    <row r="42" spans="2:14" x14ac:dyDescent="0.25">
      <c r="B42" s="6"/>
      <c r="C42" s="6" t="s">
        <v>72</v>
      </c>
      <c r="D42" s="6">
        <v>5</v>
      </c>
      <c r="E42" s="6" t="s">
        <v>171</v>
      </c>
      <c r="F42" s="6" t="s">
        <v>103</v>
      </c>
      <c r="G42" s="6" t="s">
        <v>82</v>
      </c>
      <c r="H42" s="6" t="s">
        <v>78</v>
      </c>
      <c r="I42" s="6" t="s">
        <v>105</v>
      </c>
      <c r="J42" s="6">
        <v>15</v>
      </c>
      <c r="K42" s="6" t="s">
        <v>31</v>
      </c>
      <c r="L42" s="12" t="s">
        <v>23</v>
      </c>
      <c r="M42" s="22" t="str">
        <f>CONCATENATE(F42,"""",G42,"""",",","""",H42,""",",I42,",",J42,")")</f>
        <v>SelectSingle("Sensor-00-5","P",par["date"],15)</v>
      </c>
      <c r="N42" s="22" t="str">
        <f t="shared" si="2"/>
        <v>&lt;col5 id="P-001-035"&gt;SelectSingle("Sensor-00-5","P",par["date"],15)&lt;/col5&gt;&lt;/row&gt;</v>
      </c>
    </row>
    <row r="43" spans="2:14" x14ac:dyDescent="0.25">
      <c r="B43" s="6" t="s">
        <v>73</v>
      </c>
      <c r="C43" s="6"/>
      <c r="D43" s="6">
        <v>1</v>
      </c>
      <c r="E43" s="6" t="s">
        <v>172</v>
      </c>
      <c r="F43" s="6" t="s">
        <v>103</v>
      </c>
      <c r="G43" s="6" t="s">
        <v>83</v>
      </c>
      <c r="H43" s="6" t="s">
        <v>78</v>
      </c>
      <c r="I43" s="6" t="s">
        <v>105</v>
      </c>
      <c r="J43" s="6">
        <v>17</v>
      </c>
      <c r="K43" s="6" t="s">
        <v>33</v>
      </c>
      <c r="L43" s="12" t="s">
        <v>23</v>
      </c>
      <c r="M43" s="22" t="str">
        <f>CONCATENATE(F43,"""",G43,"""",",","""",H43,""",",I43,",",J43,")")</f>
        <v>SelectSingle("Sensor-00-6","P",par["date"],17)</v>
      </c>
      <c r="N43" s="22" t="str">
        <f t="shared" si="2"/>
        <v>&lt;row&gt;&lt;col1 id="P-001-036"&gt;SelectSingle("Sensor-00-6","P",par["date"],17)&lt;/col1&gt;</v>
      </c>
    </row>
    <row r="44" spans="2:14" x14ac:dyDescent="0.25">
      <c r="B44" s="6"/>
      <c r="C44" s="6"/>
      <c r="D44" s="6">
        <v>2</v>
      </c>
      <c r="E44" s="6" t="s">
        <v>173</v>
      </c>
      <c r="F44" s="6" t="s">
        <v>103</v>
      </c>
      <c r="G44" s="6" t="s">
        <v>84</v>
      </c>
      <c r="H44" s="6" t="s">
        <v>78</v>
      </c>
      <c r="I44" s="6" t="s">
        <v>105</v>
      </c>
      <c r="J44" s="6">
        <v>19</v>
      </c>
      <c r="K44" s="6" t="s">
        <v>35</v>
      </c>
      <c r="L44" s="12" t="s">
        <v>23</v>
      </c>
      <c r="M44" s="22" t="str">
        <f>CONCATENATE(F44,"""",G44,"""",",","""",H44,""",",I44,",",J44,")")</f>
        <v>SelectSingle("Sensor-00-7","P",par["date"],19)</v>
      </c>
      <c r="N44" s="22" t="str">
        <f t="shared" si="2"/>
        <v>&lt;col2 id="P-001-037"&gt;SelectSingle("Sensor-00-7","P",par["date"],19)&lt;/col2&gt;</v>
      </c>
    </row>
    <row r="45" spans="2:14" x14ac:dyDescent="0.25">
      <c r="B45" s="6"/>
      <c r="C45" s="6"/>
      <c r="D45" s="6">
        <v>3</v>
      </c>
      <c r="E45" s="6" t="s">
        <v>174</v>
      </c>
      <c r="F45" s="6" t="s">
        <v>103</v>
      </c>
      <c r="G45" s="6" t="s">
        <v>85</v>
      </c>
      <c r="H45" s="6" t="s">
        <v>78</v>
      </c>
      <c r="I45" s="6" t="s">
        <v>105</v>
      </c>
      <c r="J45" s="6">
        <v>21</v>
      </c>
      <c r="K45" s="6" t="s">
        <v>37</v>
      </c>
      <c r="L45" s="12" t="s">
        <v>23</v>
      </c>
      <c r="M45" s="22" t="str">
        <f>CONCATENATE(F45,"""",G45,"""",",","""",H45,""",",I45,",",J45,")")</f>
        <v>SelectSingle("Sensor-00-8","P",par["date"],21)</v>
      </c>
      <c r="N45" s="22" t="str">
        <f t="shared" si="2"/>
        <v>&lt;col3 id="P-001-038"&gt;SelectSingle("Sensor-00-8","P",par["date"],21)&lt;/col3&gt;</v>
      </c>
    </row>
    <row r="46" spans="2:14" x14ac:dyDescent="0.25">
      <c r="B46" s="6"/>
      <c r="C46" s="6"/>
      <c r="D46" s="6">
        <v>4</v>
      </c>
      <c r="E46" s="6" t="s">
        <v>175</v>
      </c>
      <c r="F46" s="6" t="s">
        <v>103</v>
      </c>
      <c r="G46" s="6" t="s">
        <v>86</v>
      </c>
      <c r="H46" s="6" t="s">
        <v>78</v>
      </c>
      <c r="I46" s="6" t="s">
        <v>105</v>
      </c>
      <c r="J46" s="6">
        <v>7</v>
      </c>
      <c r="K46" s="6" t="s">
        <v>39</v>
      </c>
      <c r="L46" s="12" t="s">
        <v>23</v>
      </c>
      <c r="M46" s="22" t="str">
        <f>CONCATENATE(F46,"""",G46,"""",",","""",H46,""",",I46,",",J46,")")</f>
        <v>SelectSingle("Sensor-00-9","P",par["date"],7)</v>
      </c>
      <c r="N46" s="22" t="str">
        <f t="shared" si="2"/>
        <v>&lt;col4 id="P-001-039"&gt;SelectSingle("Sensor-00-9","P",par["date"],7)&lt;/col4&gt;</v>
      </c>
    </row>
    <row r="47" spans="2:14" x14ac:dyDescent="0.25">
      <c r="B47" s="6"/>
      <c r="C47" s="6" t="s">
        <v>72</v>
      </c>
      <c r="D47" s="6">
        <v>5</v>
      </c>
      <c r="E47" s="6" t="s">
        <v>176</v>
      </c>
      <c r="F47" s="6" t="s">
        <v>103</v>
      </c>
      <c r="G47" s="6" t="s">
        <v>87</v>
      </c>
      <c r="H47" s="6" t="s">
        <v>78</v>
      </c>
      <c r="I47" s="6" t="s">
        <v>105</v>
      </c>
      <c r="J47" s="6">
        <v>9</v>
      </c>
      <c r="K47" s="6" t="s">
        <v>41</v>
      </c>
      <c r="L47" s="12" t="s">
        <v>23</v>
      </c>
      <c r="M47" s="22" t="str">
        <f>CONCATENATE(F47,"""",G47,"""",",","""",H47,""",",I47,",",J47,")")</f>
        <v>SelectSingle("Sensor-00-10","P",par["date"],9)</v>
      </c>
      <c r="N47" s="22" t="str">
        <f t="shared" si="2"/>
        <v>&lt;col5 id="P-001-040"&gt;SelectSingle("Sensor-00-10","P",par["date"],9)&lt;/col5&gt;&lt;/row&gt;</v>
      </c>
    </row>
    <row r="48" spans="2:14" x14ac:dyDescent="0.25">
      <c r="B48" s="6" t="s">
        <v>73</v>
      </c>
      <c r="C48" s="6"/>
      <c r="D48" s="6">
        <v>1</v>
      </c>
      <c r="E48" s="6" t="s">
        <v>177</v>
      </c>
      <c r="F48" s="6" t="s">
        <v>103</v>
      </c>
      <c r="G48" s="6" t="s">
        <v>88</v>
      </c>
      <c r="H48" s="6" t="s">
        <v>78</v>
      </c>
      <c r="I48" s="6" t="s">
        <v>105</v>
      </c>
      <c r="J48" s="6">
        <v>11</v>
      </c>
      <c r="K48" s="6" t="s">
        <v>43</v>
      </c>
      <c r="L48" s="12" t="s">
        <v>44</v>
      </c>
      <c r="M48" s="22" t="str">
        <f>CONCATENATE(F48,"""",G48,"""",",","""",H48,""",",I48,",",J48,")")</f>
        <v>SelectSingle("Sensor-00-11","P",par["date"],11)</v>
      </c>
      <c r="N48" s="22" t="str">
        <f t="shared" si="2"/>
        <v>&lt;row&gt;&lt;col1 id="P-001-041"&gt;SelectSingle("Sensor-00-11","P",par["date"],11)&lt;/col1&gt;</v>
      </c>
    </row>
    <row r="49" spans="2:14" x14ac:dyDescent="0.25">
      <c r="B49" s="6"/>
      <c r="C49" s="6"/>
      <c r="D49" s="6">
        <v>2</v>
      </c>
      <c r="E49" s="6" t="s">
        <v>178</v>
      </c>
      <c r="F49" s="6" t="s">
        <v>103</v>
      </c>
      <c r="G49" s="6" t="s">
        <v>89</v>
      </c>
      <c r="H49" s="6" t="s">
        <v>78</v>
      </c>
      <c r="I49" s="6" t="s">
        <v>105</v>
      </c>
      <c r="J49" s="6">
        <v>13</v>
      </c>
      <c r="K49" s="6" t="s">
        <v>46</v>
      </c>
      <c r="L49" s="12" t="s">
        <v>44</v>
      </c>
      <c r="M49" s="22" t="str">
        <f>CONCATENATE(F49,"""",G49,"""",",","""",H49,""",",I49,",",J49,")")</f>
        <v>SelectSingle("Sensor-00-12","P",par["date"],13)</v>
      </c>
      <c r="N49" s="22" t="str">
        <f t="shared" si="2"/>
        <v>&lt;col2 id="P-001-042"&gt;SelectSingle("Sensor-00-12","P",par["date"],13)&lt;/col2&gt;</v>
      </c>
    </row>
    <row r="50" spans="2:14" x14ac:dyDescent="0.25">
      <c r="B50" s="6"/>
      <c r="C50" s="6"/>
      <c r="D50" s="6">
        <v>3</v>
      </c>
      <c r="E50" s="6" t="s">
        <v>179</v>
      </c>
      <c r="F50" s="6" t="s">
        <v>103</v>
      </c>
      <c r="G50" s="6" t="s">
        <v>90</v>
      </c>
      <c r="H50" s="6" t="s">
        <v>78</v>
      </c>
      <c r="I50" s="6" t="s">
        <v>105</v>
      </c>
      <c r="J50" s="6">
        <v>15</v>
      </c>
      <c r="K50" s="6" t="s">
        <v>48</v>
      </c>
      <c r="L50" s="12" t="s">
        <v>44</v>
      </c>
      <c r="M50" s="22" t="str">
        <f>CONCATENATE(F50,"""",G50,"""",",","""",H50,""",",I50,",",J50,")")</f>
        <v>SelectSingle("Sensor-00-13","P",par["date"],15)</v>
      </c>
      <c r="N50" s="22" t="str">
        <f t="shared" si="2"/>
        <v>&lt;col3 id="P-001-043"&gt;SelectSingle("Sensor-00-13","P",par["date"],15)&lt;/col3&gt;</v>
      </c>
    </row>
    <row r="51" spans="2:14" x14ac:dyDescent="0.25">
      <c r="B51" s="6"/>
      <c r="C51" s="6"/>
      <c r="D51" s="6">
        <v>4</v>
      </c>
      <c r="E51" s="6" t="s">
        <v>180</v>
      </c>
      <c r="F51" s="6" t="s">
        <v>103</v>
      </c>
      <c r="G51" s="6" t="s">
        <v>91</v>
      </c>
      <c r="H51" s="6" t="s">
        <v>78</v>
      </c>
      <c r="I51" s="6" t="s">
        <v>105</v>
      </c>
      <c r="J51" s="6">
        <v>17</v>
      </c>
      <c r="K51" s="6" t="s">
        <v>50</v>
      </c>
      <c r="L51" s="12" t="s">
        <v>44</v>
      </c>
      <c r="M51" s="22" t="str">
        <f>CONCATENATE(F51,"""",G51,"""",",","""",H51,""",",I51,",",J51,")")</f>
        <v>SelectSingle("Sensor-00-14","P",par["date"],17)</v>
      </c>
      <c r="N51" s="22" t="str">
        <f t="shared" si="2"/>
        <v>&lt;col4 id="P-001-044"&gt;SelectSingle("Sensor-00-14","P",par["date"],17)&lt;/col4&gt;</v>
      </c>
    </row>
    <row r="52" spans="2:14" x14ac:dyDescent="0.25">
      <c r="B52" s="6"/>
      <c r="C52" s="6" t="s">
        <v>72</v>
      </c>
      <c r="D52" s="6">
        <v>5</v>
      </c>
      <c r="E52" s="6" t="s">
        <v>181</v>
      </c>
      <c r="F52" s="6" t="s">
        <v>103</v>
      </c>
      <c r="G52" s="6" t="s">
        <v>92</v>
      </c>
      <c r="H52" s="6" t="s">
        <v>78</v>
      </c>
      <c r="I52" s="6" t="s">
        <v>105</v>
      </c>
      <c r="J52" s="6">
        <v>19</v>
      </c>
      <c r="K52" s="6" t="s">
        <v>52</v>
      </c>
      <c r="L52" s="12" t="s">
        <v>44</v>
      </c>
      <c r="M52" s="22" t="str">
        <f>CONCATENATE(F52,"""",G52,"""",",","""",H52,""",",I52,",",J52,")")</f>
        <v>SelectSingle("Sensor-00-15","P",par["date"],19)</v>
      </c>
      <c r="N52" s="22" t="str">
        <f t="shared" si="2"/>
        <v>&lt;col5 id="P-001-045"&gt;SelectSingle("Sensor-00-15","P",par["date"],19)&lt;/col5&gt;&lt;/row&gt;</v>
      </c>
    </row>
    <row r="53" spans="2:14" x14ac:dyDescent="0.25">
      <c r="B53" s="6" t="s">
        <v>73</v>
      </c>
      <c r="C53" s="6"/>
      <c r="D53" s="6">
        <v>1</v>
      </c>
      <c r="E53" s="6" t="s">
        <v>182</v>
      </c>
      <c r="F53" s="6" t="s">
        <v>103</v>
      </c>
      <c r="G53" s="6" t="s">
        <v>88</v>
      </c>
      <c r="H53" s="6" t="s">
        <v>78</v>
      </c>
      <c r="I53" s="6" t="s">
        <v>105</v>
      </c>
      <c r="J53" s="6">
        <v>11</v>
      </c>
      <c r="K53" s="6" t="s">
        <v>43</v>
      </c>
      <c r="L53" s="12" t="s">
        <v>44</v>
      </c>
      <c r="M53" s="22" t="str">
        <f>CONCATENATE(F53,"""",G53,"""",",","""",H53,""",",I53,",",J53,")")</f>
        <v>SelectSingle("Sensor-00-11","P",par["date"],11)</v>
      </c>
      <c r="N53" s="22" t="str">
        <f t="shared" ref="N53:N57" si="3">CONCATENATE(B53,"&lt;col",D53," id=""",E53,"""&gt;",M53,"&lt;/col",D53,"&gt;",C53)</f>
        <v>&lt;row&gt;&lt;col1 id="P-001-046"&gt;SelectSingle("Sensor-00-11","P",par["date"],11)&lt;/col1&gt;</v>
      </c>
    </row>
    <row r="54" spans="2:14" x14ac:dyDescent="0.25">
      <c r="B54" s="6"/>
      <c r="C54" s="6"/>
      <c r="D54" s="6">
        <v>2</v>
      </c>
      <c r="E54" s="6" t="s">
        <v>183</v>
      </c>
      <c r="F54" s="6" t="s">
        <v>103</v>
      </c>
      <c r="G54" s="6" t="s">
        <v>89</v>
      </c>
      <c r="H54" s="6" t="s">
        <v>78</v>
      </c>
      <c r="I54" s="6" t="s">
        <v>105</v>
      </c>
      <c r="J54" s="6">
        <v>13</v>
      </c>
      <c r="K54" s="6" t="s">
        <v>46</v>
      </c>
      <c r="L54" s="12" t="s">
        <v>44</v>
      </c>
      <c r="M54" s="22" t="str">
        <f>CONCATENATE(F54,"""",G54,"""",",","""",H54,""",",I54,",",J54,")")</f>
        <v>SelectSingle("Sensor-00-12","P",par["date"],13)</v>
      </c>
      <c r="N54" s="22" t="str">
        <f t="shared" si="3"/>
        <v>&lt;col2 id="P-001-047"&gt;SelectSingle("Sensor-00-12","P",par["date"],13)&lt;/col2&gt;</v>
      </c>
    </row>
    <row r="55" spans="2:14" x14ac:dyDescent="0.25">
      <c r="B55" s="6"/>
      <c r="C55" s="6"/>
      <c r="D55" s="6">
        <v>3</v>
      </c>
      <c r="E55" s="6" t="s">
        <v>184</v>
      </c>
      <c r="F55" s="6" t="s">
        <v>103</v>
      </c>
      <c r="G55" s="6" t="s">
        <v>90</v>
      </c>
      <c r="H55" s="6" t="s">
        <v>78</v>
      </c>
      <c r="I55" s="6" t="s">
        <v>105</v>
      </c>
      <c r="J55" s="6">
        <v>15</v>
      </c>
      <c r="K55" s="6" t="s">
        <v>48</v>
      </c>
      <c r="L55" s="12" t="s">
        <v>44</v>
      </c>
      <c r="M55" s="22" t="str">
        <f>CONCATENATE(F55,"""",G55,"""",",","""",H55,""",",I55,",",J55,")")</f>
        <v>SelectSingle("Sensor-00-13","P",par["date"],15)</v>
      </c>
      <c r="N55" s="22" t="str">
        <f t="shared" si="3"/>
        <v>&lt;col3 id="P-001-048"&gt;SelectSingle("Sensor-00-13","P",par["date"],15)&lt;/col3&gt;</v>
      </c>
    </row>
    <row r="56" spans="2:14" x14ac:dyDescent="0.25">
      <c r="B56" s="6"/>
      <c r="C56" s="6"/>
      <c r="D56" s="6">
        <v>4</v>
      </c>
      <c r="E56" s="6" t="s">
        <v>185</v>
      </c>
      <c r="F56" s="6" t="s">
        <v>103</v>
      </c>
      <c r="G56" s="6" t="s">
        <v>91</v>
      </c>
      <c r="H56" s="6" t="s">
        <v>78</v>
      </c>
      <c r="I56" s="6" t="s">
        <v>105</v>
      </c>
      <c r="J56" s="6">
        <v>17</v>
      </c>
      <c r="K56" s="6" t="s">
        <v>50</v>
      </c>
      <c r="L56" s="12" t="s">
        <v>44</v>
      </c>
      <c r="M56" s="22" t="str">
        <f>CONCATENATE(F56,"""",G56,"""",",","""",H56,""",",I56,",",J56,")")</f>
        <v>SelectSingle("Sensor-00-14","P",par["date"],17)</v>
      </c>
      <c r="N56" s="22" t="str">
        <f t="shared" si="3"/>
        <v>&lt;col4 id="P-001-049"&gt;SelectSingle("Sensor-00-14","P",par["date"],17)&lt;/col4&gt;</v>
      </c>
    </row>
    <row r="57" spans="2:14" x14ac:dyDescent="0.25">
      <c r="B57" s="6"/>
      <c r="C57" s="6" t="s">
        <v>72</v>
      </c>
      <c r="D57" s="6">
        <v>5</v>
      </c>
      <c r="E57" s="6" t="s">
        <v>186</v>
      </c>
      <c r="F57" s="6" t="s">
        <v>103</v>
      </c>
      <c r="G57" s="6" t="s">
        <v>92</v>
      </c>
      <c r="H57" s="6" t="s">
        <v>78</v>
      </c>
      <c r="I57" s="6" t="s">
        <v>105</v>
      </c>
      <c r="J57" s="6">
        <v>19</v>
      </c>
      <c r="K57" s="6" t="s">
        <v>52</v>
      </c>
      <c r="L57" s="12" t="s">
        <v>44</v>
      </c>
      <c r="M57" s="22" t="str">
        <f>CONCATENATE(F57,"""",G57,"""",",","""",H57,""",",I57,",",J57,")")</f>
        <v>SelectSingle("Sensor-00-15","P",par["date"],19)</v>
      </c>
      <c r="N57" s="22" t="str">
        <f t="shared" si="3"/>
        <v>&lt;col5 id="P-001-050"&gt;SelectSingle("Sensor-00-15","P",par["date"],19)&lt;/col5&gt;&lt;/row&gt;</v>
      </c>
    </row>
    <row r="58" spans="2:14" x14ac:dyDescent="0.25">
      <c r="B58" s="6" t="s">
        <v>73</v>
      </c>
      <c r="C58" s="6"/>
      <c r="D58" s="6">
        <v>1</v>
      </c>
      <c r="E58" s="6" t="s">
        <v>187</v>
      </c>
      <c r="F58" s="6" t="s">
        <v>103</v>
      </c>
      <c r="G58" s="6" t="s">
        <v>88</v>
      </c>
      <c r="H58" s="6" t="s">
        <v>78</v>
      </c>
      <c r="I58" s="6" t="s">
        <v>105</v>
      </c>
      <c r="J58" s="6">
        <v>11</v>
      </c>
      <c r="K58" s="6" t="s">
        <v>43</v>
      </c>
      <c r="L58" s="12" t="s">
        <v>44</v>
      </c>
      <c r="M58" s="22" t="str">
        <f>CONCATENATE(F58,"""",G58,"""",",","""",H58,""",",I58,",",J58,")")</f>
        <v>SelectSingle("Sensor-00-11","P",par["date"],11)</v>
      </c>
      <c r="N58" s="22" t="str">
        <f t="shared" ref="N58:N62" si="4">CONCATENATE(B58,"&lt;col",D58," id=""",E58,"""&gt;",M58,"&lt;/col",D58,"&gt;",C58)</f>
        <v>&lt;row&gt;&lt;col1 id="P-001-051"&gt;SelectSingle("Sensor-00-11","P",par["date"],11)&lt;/col1&gt;</v>
      </c>
    </row>
    <row r="59" spans="2:14" x14ac:dyDescent="0.25">
      <c r="B59" s="6"/>
      <c r="C59" s="6"/>
      <c r="D59" s="6">
        <v>2</v>
      </c>
      <c r="E59" s="6" t="s">
        <v>188</v>
      </c>
      <c r="F59" s="6" t="s">
        <v>103</v>
      </c>
      <c r="G59" s="6" t="s">
        <v>89</v>
      </c>
      <c r="H59" s="6" t="s">
        <v>78</v>
      </c>
      <c r="I59" s="6" t="s">
        <v>105</v>
      </c>
      <c r="J59" s="6">
        <v>13</v>
      </c>
      <c r="K59" s="6" t="s">
        <v>46</v>
      </c>
      <c r="L59" s="12" t="s">
        <v>44</v>
      </c>
      <c r="M59" s="22" t="str">
        <f>CONCATENATE(F59,"""",G59,"""",",","""",H59,""",",I59,",",J59,")")</f>
        <v>SelectSingle("Sensor-00-12","P",par["date"],13)</v>
      </c>
      <c r="N59" s="22" t="str">
        <f t="shared" si="4"/>
        <v>&lt;col2 id="P-001-052"&gt;SelectSingle("Sensor-00-12","P",par["date"],13)&lt;/col2&gt;</v>
      </c>
    </row>
    <row r="60" spans="2:14" x14ac:dyDescent="0.25">
      <c r="B60" s="6"/>
      <c r="C60" s="6"/>
      <c r="D60" s="6">
        <v>3</v>
      </c>
      <c r="E60" s="6" t="s">
        <v>189</v>
      </c>
      <c r="F60" s="6" t="s">
        <v>103</v>
      </c>
      <c r="G60" s="6" t="s">
        <v>90</v>
      </c>
      <c r="H60" s="6" t="s">
        <v>78</v>
      </c>
      <c r="I60" s="6" t="s">
        <v>105</v>
      </c>
      <c r="J60" s="6">
        <v>15</v>
      </c>
      <c r="K60" s="6" t="s">
        <v>48</v>
      </c>
      <c r="L60" s="12" t="s">
        <v>44</v>
      </c>
      <c r="M60" s="22" t="str">
        <f>CONCATENATE(F60,"""",G60,"""",",","""",H60,""",",I60,",",J60,")")</f>
        <v>SelectSingle("Sensor-00-13","P",par["date"],15)</v>
      </c>
      <c r="N60" s="22" t="str">
        <f t="shared" si="4"/>
        <v>&lt;col3 id="P-001-053"&gt;SelectSingle("Sensor-00-13","P",par["date"],15)&lt;/col3&gt;</v>
      </c>
    </row>
    <row r="61" spans="2:14" x14ac:dyDescent="0.25">
      <c r="B61" s="6"/>
      <c r="C61" s="6"/>
      <c r="D61" s="6">
        <v>4</v>
      </c>
      <c r="E61" s="6" t="s">
        <v>190</v>
      </c>
      <c r="F61" s="6" t="s">
        <v>103</v>
      </c>
      <c r="G61" s="6" t="s">
        <v>91</v>
      </c>
      <c r="H61" s="6" t="s">
        <v>78</v>
      </c>
      <c r="I61" s="6" t="s">
        <v>105</v>
      </c>
      <c r="J61" s="6">
        <v>17</v>
      </c>
      <c r="K61" s="6" t="s">
        <v>50</v>
      </c>
      <c r="L61" s="12" t="s">
        <v>44</v>
      </c>
      <c r="M61" s="22" t="str">
        <f>CONCATENATE(F61,"""",G61,"""",",","""",H61,""",",I61,",",J61,")")</f>
        <v>SelectSingle("Sensor-00-14","P",par["date"],17)</v>
      </c>
      <c r="N61" s="22" t="str">
        <f t="shared" si="4"/>
        <v>&lt;col4 id="P-001-054"&gt;SelectSingle("Sensor-00-14","P",par["date"],17)&lt;/col4&gt;</v>
      </c>
    </row>
    <row r="62" spans="2:14" x14ac:dyDescent="0.25">
      <c r="B62" s="6"/>
      <c r="C62" s="6" t="s">
        <v>72</v>
      </c>
      <c r="D62" s="6">
        <v>5</v>
      </c>
      <c r="E62" s="6" t="s">
        <v>191</v>
      </c>
      <c r="F62" s="6" t="s">
        <v>103</v>
      </c>
      <c r="G62" s="6" t="s">
        <v>92</v>
      </c>
      <c r="H62" s="6" t="s">
        <v>78</v>
      </c>
      <c r="I62" s="6" t="s">
        <v>105</v>
      </c>
      <c r="J62" s="6">
        <v>19</v>
      </c>
      <c r="K62" s="6" t="s">
        <v>52</v>
      </c>
      <c r="L62" s="12" t="s">
        <v>44</v>
      </c>
      <c r="M62" s="22" t="str">
        <f>CONCATENATE(F62,"""",G62,"""",",","""",H62,""",",I62,",",J62,")")</f>
        <v>SelectSingle("Sensor-00-15","P",par["date"],19)</v>
      </c>
      <c r="N62" s="22" t="str">
        <f t="shared" si="4"/>
        <v>&lt;col5 id="P-001-055"&gt;SelectSingle("Sensor-00-15","P",par["date"],19)&lt;/col5&gt;&lt;/row&gt;</v>
      </c>
    </row>
    <row r="63" spans="2:14" x14ac:dyDescent="0.25">
      <c r="B63" s="6" t="s">
        <v>73</v>
      </c>
      <c r="C63" s="6"/>
      <c r="D63" s="6">
        <v>1</v>
      </c>
      <c r="E63" s="6" t="s">
        <v>192</v>
      </c>
      <c r="F63" s="6" t="s">
        <v>103</v>
      </c>
      <c r="G63" s="6" t="s">
        <v>93</v>
      </c>
      <c r="H63" s="6" t="s">
        <v>78</v>
      </c>
      <c r="I63" s="6" t="s">
        <v>105</v>
      </c>
      <c r="J63" s="6">
        <v>21</v>
      </c>
      <c r="K63" s="6" t="s">
        <v>54</v>
      </c>
      <c r="L63" s="12" t="s">
        <v>44</v>
      </c>
      <c r="M63" s="22" t="str">
        <f>CONCATENATE(F63,"""",G63,"""",",","""",H63,""",",I63,",",J63,")")</f>
        <v>SelectSingle("Sensor-00-16","P",par["date"],21)</v>
      </c>
      <c r="N63" s="22" t="str">
        <f t="shared" si="2"/>
        <v>&lt;row&gt;&lt;col1 id="P-001-056"&gt;SelectSingle("Sensor-00-16","P",par["date"],21)&lt;/col1&gt;</v>
      </c>
    </row>
    <row r="64" spans="2:14" x14ac:dyDescent="0.25">
      <c r="B64" s="6"/>
      <c r="C64" s="6"/>
      <c r="D64" s="6">
        <v>2</v>
      </c>
      <c r="E64" s="6" t="s">
        <v>193</v>
      </c>
      <c r="F64" s="6" t="s">
        <v>103</v>
      </c>
      <c r="G64" s="6" t="s">
        <v>94</v>
      </c>
      <c r="H64" s="6" t="s">
        <v>78</v>
      </c>
      <c r="I64" s="6" t="s">
        <v>105</v>
      </c>
      <c r="J64" s="6">
        <v>7</v>
      </c>
      <c r="K64" s="6" t="s">
        <v>56</v>
      </c>
      <c r="L64" s="12" t="s">
        <v>57</v>
      </c>
      <c r="M64" s="22" t="str">
        <f>CONCATENATE(F64,"""",G64,"""",",","""",H64,""",",I64,",",J64,")")</f>
        <v>SelectSingle("Sensor-00-17","P",par["date"],7)</v>
      </c>
      <c r="N64" s="22" t="str">
        <f t="shared" si="2"/>
        <v>&lt;col2 id="P-001-057"&gt;SelectSingle("Sensor-00-17","P",par["date"],7)&lt;/col2&gt;</v>
      </c>
    </row>
    <row r="65" spans="2:14" x14ac:dyDescent="0.25">
      <c r="B65" s="6"/>
      <c r="C65" s="6"/>
      <c r="D65" s="6">
        <v>3</v>
      </c>
      <c r="E65" s="6" t="s">
        <v>194</v>
      </c>
      <c r="F65" s="6" t="s">
        <v>103</v>
      </c>
      <c r="G65" s="6" t="s">
        <v>95</v>
      </c>
      <c r="H65" s="6" t="s">
        <v>78</v>
      </c>
      <c r="I65" s="6" t="s">
        <v>105</v>
      </c>
      <c r="J65" s="6">
        <v>9</v>
      </c>
      <c r="K65" s="6" t="s">
        <v>59</v>
      </c>
      <c r="L65" s="12" t="s">
        <v>57</v>
      </c>
      <c r="M65" s="22" t="str">
        <f>CONCATENATE(F65,"""",G65,"""",",","""",H65,""",",I65,",",J65,")")</f>
        <v>SelectSingle("Sensor-00-18","P",par["date"],9)</v>
      </c>
      <c r="N65" s="22" t="str">
        <f t="shared" si="2"/>
        <v>&lt;col3 id="P-001-058"&gt;SelectSingle("Sensor-00-18","P",par["date"],9)&lt;/col3&gt;</v>
      </c>
    </row>
    <row r="66" spans="2:14" x14ac:dyDescent="0.25">
      <c r="B66" s="6"/>
      <c r="C66" s="6"/>
      <c r="D66" s="6">
        <v>4</v>
      </c>
      <c r="E66" s="6" t="s">
        <v>195</v>
      </c>
      <c r="F66" s="6" t="s">
        <v>103</v>
      </c>
      <c r="G66" s="6" t="s">
        <v>96</v>
      </c>
      <c r="H66" s="6" t="s">
        <v>78</v>
      </c>
      <c r="I66" s="6" t="s">
        <v>105</v>
      </c>
      <c r="J66" s="6">
        <v>11</v>
      </c>
      <c r="K66" s="6" t="s">
        <v>61</v>
      </c>
      <c r="L66" s="12" t="s">
        <v>57</v>
      </c>
      <c r="M66" s="22" t="str">
        <f>CONCATENATE(F66,"""",G66,"""",",","""",H66,""",",I66,",",J66,")")</f>
        <v>SelectSingle("Sensor-00-19","P",par["date"],11)</v>
      </c>
      <c r="N66" s="22" t="str">
        <f t="shared" si="2"/>
        <v>&lt;col4 id="P-001-059"&gt;SelectSingle("Sensor-00-19","P",par["date"],11)&lt;/col4&gt;</v>
      </c>
    </row>
    <row r="67" spans="2:14" x14ac:dyDescent="0.25">
      <c r="B67" s="6"/>
      <c r="C67" s="6" t="s">
        <v>72</v>
      </c>
      <c r="D67" s="6">
        <v>5</v>
      </c>
      <c r="E67" s="6" t="s">
        <v>196</v>
      </c>
      <c r="F67" s="6" t="s">
        <v>103</v>
      </c>
      <c r="G67" s="6" t="s">
        <v>97</v>
      </c>
      <c r="H67" s="6" t="s">
        <v>78</v>
      </c>
      <c r="I67" s="6" t="s">
        <v>105</v>
      </c>
      <c r="J67" s="6">
        <v>13</v>
      </c>
      <c r="K67" s="6" t="s">
        <v>63</v>
      </c>
      <c r="L67" s="12" t="s">
        <v>57</v>
      </c>
      <c r="M67" s="22" t="str">
        <f>CONCATENATE(F67,"""",G67,"""",",","""",H67,""",",I67,",",J67,")")</f>
        <v>SelectSingle("Sensor-00-20","P",par["date"],13)</v>
      </c>
      <c r="N67" s="22" t="str">
        <f t="shared" si="2"/>
        <v>&lt;col5 id="P-001-060"&gt;SelectSingle("Sensor-00-20","P",par["date"],13)&lt;/col5&gt;&lt;/row&gt;</v>
      </c>
    </row>
    <row r="68" spans="2:14" x14ac:dyDescent="0.25">
      <c r="B68" s="6" t="s">
        <v>73</v>
      </c>
      <c r="C68" s="6"/>
      <c r="D68" s="6">
        <v>1</v>
      </c>
      <c r="E68" s="6" t="s">
        <v>197</v>
      </c>
      <c r="F68" s="6" t="s">
        <v>103</v>
      </c>
      <c r="G68" s="6" t="s">
        <v>98</v>
      </c>
      <c r="H68" s="6" t="s">
        <v>78</v>
      </c>
      <c r="I68" s="6" t="s">
        <v>105</v>
      </c>
      <c r="J68" s="6">
        <v>15</v>
      </c>
      <c r="K68" s="6" t="s">
        <v>65</v>
      </c>
      <c r="L68" s="12" t="s">
        <v>57</v>
      </c>
      <c r="M68" s="22" t="str">
        <f>CONCATENATE(F68,"""",G68,"""",",","""",H68,""",",I68,",",J68,")")</f>
        <v>SelectSingle("Sensor-00-21","P",par["date"],15)</v>
      </c>
      <c r="N68" s="22" t="str">
        <f t="shared" si="2"/>
        <v>&lt;row&gt;&lt;col1 id="P-001-061"&gt;SelectSingle("Sensor-00-21","P",par["date"],15)&lt;/col1&gt;</v>
      </c>
    </row>
    <row r="69" spans="2:14" x14ac:dyDescent="0.25">
      <c r="B69" s="6"/>
      <c r="C69" s="6"/>
      <c r="D69" s="6">
        <v>2</v>
      </c>
      <c r="E69" s="6" t="s">
        <v>198</v>
      </c>
      <c r="F69" s="6" t="s">
        <v>103</v>
      </c>
      <c r="G69" s="6" t="s">
        <v>99</v>
      </c>
      <c r="H69" s="6" t="s">
        <v>78</v>
      </c>
      <c r="I69" s="6" t="s">
        <v>105</v>
      </c>
      <c r="J69" s="6">
        <v>17</v>
      </c>
      <c r="K69" s="6" t="s">
        <v>67</v>
      </c>
      <c r="L69" s="12" t="s">
        <v>57</v>
      </c>
      <c r="M69" s="22" t="str">
        <f>CONCATENATE(F69,"""",G69,"""",",","""",H69,""",",I69,",",J69,")")</f>
        <v>SelectSingle("Sensor-00-22","P",par["date"],17)</v>
      </c>
      <c r="N69" s="22" t="str">
        <f t="shared" si="2"/>
        <v>&lt;col2 id="P-001-062"&gt;SelectSingle("Sensor-00-22","P",par["date"],17)&lt;/col2&gt;</v>
      </c>
    </row>
    <row r="70" spans="2:14" x14ac:dyDescent="0.25">
      <c r="B70" s="6"/>
      <c r="C70" s="6"/>
      <c r="D70" s="6">
        <v>3</v>
      </c>
      <c r="E70" s="6" t="s">
        <v>199</v>
      </c>
      <c r="F70" s="6" t="s">
        <v>103</v>
      </c>
      <c r="G70" s="6" t="s">
        <v>100</v>
      </c>
      <c r="H70" s="6" t="s">
        <v>78</v>
      </c>
      <c r="I70" s="6" t="s">
        <v>105</v>
      </c>
      <c r="J70" s="6">
        <v>19</v>
      </c>
      <c r="K70" s="6" t="s">
        <v>69</v>
      </c>
      <c r="L70" s="12" t="s">
        <v>57</v>
      </c>
      <c r="M70" s="22" t="str">
        <f>CONCATENATE(F70,"""",G70,"""",",","""",H70,""",",I70,",",J70,")")</f>
        <v>SelectSingle("Sensor-00-23","P",par["date"],19)</v>
      </c>
      <c r="N70" s="22" t="str">
        <f t="shared" si="2"/>
        <v>&lt;col3 id="P-001-063"&gt;SelectSingle("Sensor-00-23","P",par["date"],19)&lt;/col3&gt;</v>
      </c>
    </row>
    <row r="71" spans="2:14" x14ac:dyDescent="0.25">
      <c r="B71" s="6"/>
      <c r="C71" s="6"/>
      <c r="D71" s="6">
        <v>4</v>
      </c>
      <c r="E71" s="6" t="s">
        <v>200</v>
      </c>
      <c r="F71" s="6" t="s">
        <v>103</v>
      </c>
      <c r="G71" s="6" t="s">
        <v>101</v>
      </c>
      <c r="H71" s="6" t="s">
        <v>78</v>
      </c>
      <c r="I71" s="6" t="s">
        <v>105</v>
      </c>
      <c r="J71" s="6">
        <v>21</v>
      </c>
      <c r="K71" s="6" t="s">
        <v>71</v>
      </c>
      <c r="L71" s="12" t="s">
        <v>57</v>
      </c>
      <c r="M71" s="22" t="str">
        <f>CONCATENATE(F71,"""",G71,"""",",","""",H71,""",",I71,",",J71,")")</f>
        <v>SelectSingle("Sensor-00-24","P",par["date"],21)</v>
      </c>
      <c r="N71" s="22" t="str">
        <f t="shared" si="2"/>
        <v>&lt;col4 id="P-001-064"&gt;SelectSingle("Sensor-00-24","P",par["date"],21)&lt;/col4&gt;</v>
      </c>
    </row>
    <row r="72" spans="2:14" x14ac:dyDescent="0.25">
      <c r="B72" s="6"/>
      <c r="C72" s="18" t="s">
        <v>108</v>
      </c>
      <c r="D72" s="6">
        <v>5</v>
      </c>
      <c r="E72" s="6" t="s">
        <v>201</v>
      </c>
      <c r="F72" s="6" t="s">
        <v>103</v>
      </c>
      <c r="G72" s="6" t="s">
        <v>102</v>
      </c>
      <c r="H72" s="6" t="s">
        <v>78</v>
      </c>
      <c r="I72" s="6" t="s">
        <v>105</v>
      </c>
      <c r="J72" s="6">
        <v>22</v>
      </c>
      <c r="K72" s="6" t="s">
        <v>75</v>
      </c>
      <c r="L72" s="12" t="s">
        <v>76</v>
      </c>
      <c r="M72" s="22" t="str">
        <f>CONCATENATE(F72,"""",G72,"""",",","""",H72,""",",I72,",",J72,")")</f>
        <v>SelectSingle("Sensor-00-25","P",par["date"],22)</v>
      </c>
      <c r="N72" s="22" t="str">
        <f t="shared" si="2"/>
        <v>&lt;col5 id="P-001-065"&gt;SelectSingle("Sensor-00-25","P",par["date"],22)&lt;/col5&gt;&lt;/row&gt;&lt;/request&gt;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ostTemplate_Click">
                <anchor moveWithCells="1" sizeWithCells="1">
                  <from>
                    <xdr:col>10</xdr:col>
                    <xdr:colOff>76200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template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Рекало Александр Борисович</cp:lastModifiedBy>
  <dcterms:created xsi:type="dcterms:W3CDTF">2020-01-19T10:04:12Z</dcterms:created>
  <dcterms:modified xsi:type="dcterms:W3CDTF">2020-01-27T13:32:25Z</dcterms:modified>
</cp:coreProperties>
</file>