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60" windowWidth="23040" windowHeight="9135"/>
  </bookViews>
  <sheets>
    <sheet name="data" sheetId="1" r:id="rId1"/>
    <sheet name="ballance-tmpl" sheetId="2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2" l="1"/>
  <c r="M8" i="2" l="1"/>
  <c r="N8" i="2" s="1"/>
  <c r="M9" i="2"/>
  <c r="N9" i="2" s="1"/>
  <c r="M10" i="2"/>
  <c r="N10" i="2" s="1"/>
  <c r="M11" i="2"/>
  <c r="N11" i="2" s="1"/>
  <c r="M12" i="2"/>
  <c r="N12" i="2" s="1"/>
  <c r="N2" i="2"/>
  <c r="N3" i="2"/>
  <c r="N4" i="2"/>
</calcChain>
</file>

<file path=xl/connections.xml><?xml version="1.0" encoding="utf-8"?>
<connections xmlns="http://schemas.openxmlformats.org/spreadsheetml/2006/main">
  <connection id="1" name="docs" type="4" refreshedVersion="0" background="1">
    <webPr xml="1" sourceData="1" url="http://localhost:3000/docs" htmlTables="1" htmlFormat="all"/>
  </connection>
  <connection id="2" name="docs1" type="4" refreshedVersion="0" background="1">
    <webPr xml="1" sourceData="1" url="http://localhost:3000/templates/OGU.PROLETARSKE.REGIM.HOUR?date=2021-09-01" htmlTables="1" htmlFormat="all"/>
  </connection>
  <connection id="3" name="oask_psg_template" type="4" refreshedVersion="0" background="1">
    <webPr xml="1" sourceData="1" url="C:\Users\Alex\Dropbox\TEMP\EXCELL_FORMS\oask_psg_template.xml" htmlTables="1" htmlFormat="all"/>
  </connection>
  <connection id="4" name="oask_psg_template1" type="4" refreshedVersion="0" background="1">
    <webPr xml="1" sourceData="1" url="C:\Users\Alex\Dropbox\TEMP\EXCELL_FORMS\oask_psg_template.xml" htmlTables="1" htmlFormat="all"/>
  </connection>
  <connection id="5" name="OGU.PROLETARSKE.REGIM" type="4" refreshedVersion="0" background="1">
    <webPr xml="1" sourceData="1" url="http://localhost:3000/templates/OGU.XXX.REGIM.HOUR?date=2021-12-31&amp;time=7" htmlTables="1" htmlFormat="all"/>
  </connection>
  <connection id="6" name="OGU.PROLETARSKE.REGIM1" type="4" refreshedVersion="0" background="1">
    <webPr xml="1" sourceData="1" url="http://localhost:3000/collection/OGU.PROLETARSKE.REGIM.HOUR" htmlTables="1" htmlFormat="all"/>
  </connection>
  <connection id="7" name="OGU.PROLETARSKE.REGIM2" type="4" refreshedVersion="0" background="1">
    <webPr xml="1" sourceData="1" url="http://localhost:3000/collection/OGU.PROLETARSKE.REGIM.HOUR" htmlTables="1" htmlFormat="all"/>
  </connection>
  <connection id="8" name="OGU.XXX.REGIM" type="4" refreshedVersion="0" background="1">
    <webPr xml="1" sourceData="1" url="http://localhost:3000/collection/OGU.XXX.REGIM.HOUR?date=2021-12-31" htmlTables="1" htmlFormat="all"/>
  </connection>
</connections>
</file>

<file path=xl/sharedStrings.xml><?xml version="1.0" encoding="utf-8"?>
<sst xmlns="http://schemas.openxmlformats.org/spreadsheetml/2006/main" count="176" uniqueCount="101">
  <si>
    <t>id</t>
  </si>
  <si>
    <t>id3</t>
  </si>
  <si>
    <t>id2</t>
  </si>
  <si>
    <t>col1</t>
  </si>
  <si>
    <t>col2</t>
  </si>
  <si>
    <t>id4</t>
  </si>
  <si>
    <t>col3</t>
  </si>
  <si>
    <t>col4</t>
  </si>
  <si>
    <t>date</t>
  </si>
  <si>
    <t>key</t>
  </si>
  <si>
    <t>fghdfghdfghdf2354345uy675865123</t>
  </si>
  <si>
    <t>doc</t>
  </si>
  <si>
    <t>Col</t>
  </si>
  <si>
    <t>ParId</t>
  </si>
  <si>
    <t>Fx</t>
  </si>
  <si>
    <t>Par-1</t>
  </si>
  <si>
    <t>Par-2</t>
  </si>
  <si>
    <t>Par-3</t>
  </si>
  <si>
    <t>ParamName</t>
  </si>
  <si>
    <t>EU</t>
  </si>
  <si>
    <t>тис.м3</t>
  </si>
  <si>
    <t>Полное название Param-001-27</t>
  </si>
  <si>
    <t>Полное название Param-001-28</t>
  </si>
  <si>
    <t>Полное название Param-001-29</t>
  </si>
  <si>
    <t>Полное название Param-001-30</t>
  </si>
  <si>
    <t>&lt;row&gt;</t>
  </si>
  <si>
    <t>Полное название Param-001-31</t>
  </si>
  <si>
    <t>тис.м4</t>
  </si>
  <si>
    <t>P</t>
  </si>
  <si>
    <t>Sensor-00-21</t>
  </si>
  <si>
    <t>Sensor-00-22</t>
  </si>
  <si>
    <t>Sensor-00-23</t>
  </si>
  <si>
    <t>Sensor-00-24</t>
  </si>
  <si>
    <t>Sensor-00-25</t>
  </si>
  <si>
    <t>SelectSingle(</t>
  </si>
  <si>
    <t>Par-4</t>
  </si>
  <si>
    <t>par["date"]</t>
  </si>
  <si>
    <t>row</t>
  </si>
  <si>
    <t>/row</t>
  </si>
  <si>
    <t>&lt;/row&gt;&lt;/request&gt;</t>
  </si>
  <si>
    <r>
      <t>&lt;?</t>
    </r>
    <r>
      <rPr>
        <sz val="9"/>
        <color rgb="FF808080"/>
        <rFont val="Consolas"/>
        <family val="3"/>
        <charset val="204"/>
      </rPr>
      <t>xml</t>
    </r>
    <r>
      <rPr>
        <sz val="9"/>
        <color rgb="FF000000"/>
        <rFont val="Consolas"/>
        <family val="3"/>
        <charset val="204"/>
      </rPr>
      <t> </t>
    </r>
    <r>
      <rPr>
        <sz val="9"/>
        <color rgb="FFFF0000"/>
        <rFont val="Consolas"/>
        <family val="3"/>
        <charset val="204"/>
      </rPr>
      <t>version</t>
    </r>
    <r>
      <rPr>
        <sz val="9"/>
        <color rgb="FF000000"/>
        <rFont val="Consolas"/>
        <family val="3"/>
        <charset val="204"/>
      </rPr>
      <t>=</t>
    </r>
    <r>
      <rPr>
        <sz val="9"/>
        <color rgb="FF0000FF"/>
        <rFont val="Consolas"/>
        <family val="3"/>
        <charset val="204"/>
      </rPr>
      <t>"1.0"</t>
    </r>
    <r>
      <rPr>
        <sz val="9"/>
        <color rgb="FF000000"/>
        <rFont val="Consolas"/>
        <family val="3"/>
        <charset val="204"/>
      </rPr>
      <t> </t>
    </r>
    <r>
      <rPr>
        <sz val="9"/>
        <color rgb="FFFF0000"/>
        <rFont val="Consolas"/>
        <family val="3"/>
        <charset val="204"/>
      </rPr>
      <t>encoding</t>
    </r>
    <r>
      <rPr>
        <sz val="9"/>
        <color rgb="FF000000"/>
        <rFont val="Consolas"/>
        <family val="3"/>
        <charset val="204"/>
      </rPr>
      <t>=</t>
    </r>
    <r>
      <rPr>
        <sz val="9"/>
        <color rgb="FF0000FF"/>
        <rFont val="Consolas"/>
        <family val="3"/>
        <charset val="204"/>
      </rPr>
      <t>"UTF-8"</t>
    </r>
    <r>
      <rPr>
        <sz val="9"/>
        <color rgb="FF000000"/>
        <rFont val="Consolas"/>
        <family val="3"/>
        <charset val="204"/>
      </rPr>
      <t> </t>
    </r>
    <r>
      <rPr>
        <sz val="9"/>
        <color rgb="FFFF0000"/>
        <rFont val="Consolas"/>
        <family val="3"/>
        <charset val="204"/>
      </rPr>
      <t>standalone</t>
    </r>
    <r>
      <rPr>
        <sz val="9"/>
        <color rgb="FF000000"/>
        <rFont val="Consolas"/>
        <family val="3"/>
        <charset val="204"/>
      </rPr>
      <t>=</t>
    </r>
    <r>
      <rPr>
        <sz val="9"/>
        <color rgb="FF0000FF"/>
        <rFont val="Consolas"/>
        <family val="3"/>
        <charset val="204"/>
      </rPr>
      <t>"yes"?&gt;&lt;request&gt;</t>
    </r>
  </si>
  <si>
    <t>time</t>
  </si>
  <si>
    <t>id5</t>
  </si>
  <si>
    <t>col5</t>
  </si>
  <si>
    <t>par["time"]</t>
  </si>
  <si>
    <t>Binding</t>
  </si>
  <si>
    <t>P-001-061</t>
  </si>
  <si>
    <t>P-001-062</t>
  </si>
  <si>
    <t>P-001-063</t>
  </si>
  <si>
    <t>P-001-064</t>
  </si>
  <si>
    <t>P-001-065</t>
  </si>
  <si>
    <t>OGU.XXX.REGIM.HOUR</t>
  </si>
  <si>
    <t>7</t>
  </si>
  <si>
    <t>0.06</t>
  </si>
  <si>
    <t>created</t>
  </si>
  <si>
    <t>"2020-01-28T12:04:13.799Z"</t>
  </si>
  <si>
    <t>"2020-01-28T12:04:15.511Z"</t>
  </si>
  <si>
    <t>"5e30233d74822120440f3f35"</t>
  </si>
  <si>
    <t>"5e30233f74822120440f3f36"</t>
  </si>
  <si>
    <t>"2020-01-28T12:13:32.050Z"</t>
  </si>
  <si>
    <t>"2020-01-28T12:13:34.362Z"</t>
  </si>
  <si>
    <t>"5e30256c74822120440f3f38"</t>
  </si>
  <si>
    <t>"5e30256e74822120440f3f39"</t>
  </si>
  <si>
    <t>"2020-01-28T12:13:47.081Z"</t>
  </si>
  <si>
    <t>"2020-01-28T12:13:51.185Z"</t>
  </si>
  <si>
    <t>"5e30257b74822120440f3f3a"</t>
  </si>
  <si>
    <t>"5e30257f74822120440f3f3b"</t>
  </si>
  <si>
    <t>0.50</t>
  </si>
  <si>
    <t>"2020-01-28T12:14:58.799Z"</t>
  </si>
  <si>
    <t>"2020-01-28T12:15:01.157Z"</t>
  </si>
  <si>
    <t>"2020-01-28T12:15:03.087Z"</t>
  </si>
  <si>
    <t>"5e3025c274822120440f3f3c"</t>
  </si>
  <si>
    <t>"5e3025c574822120440f3f3d"</t>
  </si>
  <si>
    <t>"5e3025c774822120440f3f3e"</t>
  </si>
  <si>
    <t>0.49</t>
  </si>
  <si>
    <t>"2020-01-28T12:17:52.856Z"</t>
  </si>
  <si>
    <t>"2020-01-28T12:17:54.883Z"</t>
  </si>
  <si>
    <t>"2020-01-28T12:17:56.764Z"</t>
  </si>
  <si>
    <t>"5e30267074822120440f3f3f"</t>
  </si>
  <si>
    <t>"5e30267274822120440f3f40"</t>
  </si>
  <si>
    <t>"5e30267474822120440f3f41"</t>
  </si>
  <si>
    <t>"2020-01-28T12:27:07.523Z"</t>
  </si>
  <si>
    <t>"5e30289b74822120440f3f42"</t>
  </si>
  <si>
    <t>"2020-01-28T12:27:19.496Z"</t>
  </si>
  <si>
    <t>"5e3028a774822120440f3f43"</t>
  </si>
  <si>
    <t>"2020-01-28T12:28:02.101Z"</t>
  </si>
  <si>
    <t>"5e3028d274822120440f3f44"</t>
  </si>
  <si>
    <t>0.82</t>
  </si>
  <si>
    <t>"2020-01-28T12:29:19.581Z"</t>
  </si>
  <si>
    <t>"5e30291f74822120440f3f45"</t>
  </si>
  <si>
    <t>"2020-01-28T12:34:36.033Z"</t>
  </si>
  <si>
    <t>"2020-01-28T12:34:38.154Z"</t>
  </si>
  <si>
    <t>"5e302a5c74822120440f3f46"</t>
  </si>
  <si>
    <t>"5e302a5e74822120440f3f47"</t>
  </si>
  <si>
    <t>0.28</t>
  </si>
  <si>
    <t>"2020-01-28T13:04:35.652Z"</t>
  </si>
  <si>
    <t>"2020-01-28T13:05:05.002Z"</t>
  </si>
  <si>
    <t>"2020-01-28T13:05:06.915Z"</t>
  </si>
  <si>
    <t>"5e30316374822120440f3f48"</t>
  </si>
  <si>
    <t>"5e30318174822120440f3f49"</t>
  </si>
  <si>
    <t>"5e30318274822120440f3f4a"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</si>
</sst>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.mm\.yy;@"/>
    <numFmt numFmtId="165" formatCode="hh:mm:ss;@"/>
  </numFmts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9"/>
      <color rgb="FF000000"/>
      <name val="Consolas"/>
      <family val="3"/>
      <charset val="204"/>
    </font>
    <font>
      <sz val="9"/>
      <color rgb="FF0000FF"/>
      <name val="Consolas"/>
      <family val="3"/>
      <charset val="204"/>
    </font>
    <font>
      <sz val="9"/>
      <color rgb="FF808080"/>
      <name val="Consolas"/>
      <family val="3"/>
      <charset val="204"/>
    </font>
    <font>
      <sz val="9"/>
      <color rgb="FFFF0000"/>
      <name val="Consolas"/>
      <family val="3"/>
      <charset val="204"/>
    </font>
    <font>
      <sz val="12"/>
      <color rgb="FF0A0101"/>
      <name val="Arial"/>
      <family val="2"/>
      <charset val="204"/>
    </font>
    <font>
      <b/>
      <sz val="1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49" fontId="0" fillId="0" borderId="0" xfId="0" applyNumberFormat="1"/>
    <xf numFmtId="14" fontId="0" fillId="0" borderId="0" xfId="0" applyNumberFormat="1"/>
    <xf numFmtId="21" fontId="0" fillId="0" borderId="0" xfId="0" applyNumberFormat="1"/>
    <xf numFmtId="0" fontId="2" fillId="0" borderId="1" xfId="0" applyFont="1" applyBorder="1"/>
    <xf numFmtId="164" fontId="0" fillId="2" borderId="1" xfId="0" applyNumberFormat="1" applyFill="1" applyBorder="1"/>
    <xf numFmtId="0" fontId="0" fillId="0" borderId="1" xfId="0" applyBorder="1"/>
    <xf numFmtId="0" fontId="2" fillId="3" borderId="2" xfId="0" applyFont="1" applyFill="1" applyBorder="1"/>
    <xf numFmtId="0" fontId="3" fillId="3" borderId="2" xfId="0" applyFont="1" applyFill="1" applyBorder="1"/>
    <xf numFmtId="0" fontId="2" fillId="3" borderId="3" xfId="0" applyFont="1" applyFill="1" applyBorder="1"/>
    <xf numFmtId="0" fontId="8" fillId="0" borderId="0" xfId="0" applyFont="1"/>
    <xf numFmtId="0" fontId="2" fillId="3" borderId="4" xfId="0" applyFont="1" applyFill="1" applyBorder="1"/>
    <xf numFmtId="0" fontId="0" fillId="0" borderId="5" xfId="0" applyBorder="1"/>
    <xf numFmtId="0" fontId="2" fillId="0" borderId="2" xfId="0" applyFont="1" applyBorder="1"/>
    <xf numFmtId="165" fontId="0" fillId="0" borderId="3" xfId="0" applyNumberFormat="1" applyFill="1" applyBorder="1"/>
    <xf numFmtId="22" fontId="0" fillId="0" borderId="0" xfId="0" applyNumberFormat="1"/>
    <xf numFmtId="0" fontId="9" fillId="4" borderId="1" xfId="0" applyFont="1" applyFill="1" applyBorder="1"/>
    <xf numFmtId="0" fontId="5" fillId="0" borderId="6" xfId="0" applyFont="1" applyFill="1" applyBorder="1" applyAlignment="1">
      <alignment vertical="center"/>
    </xf>
    <xf numFmtId="0" fontId="0" fillId="0" borderId="0" xfId="0" applyFill="1"/>
    <xf numFmtId="164" fontId="0" fillId="0" borderId="7" xfId="0" applyNumberFormat="1" applyFill="1" applyBorder="1"/>
    <xf numFmtId="0" fontId="0" fillId="0" borderId="7" xfId="0" applyFill="1" applyBorder="1"/>
    <xf numFmtId="0" fontId="2" fillId="3" borderId="0" xfId="0" applyFont="1" applyFill="1" applyBorder="1"/>
    <xf numFmtId="14" fontId="4" fillId="0" borderId="0" xfId="0" applyNumberFormat="1" applyFont="1" applyAlignment="1">
      <alignment vertical="center"/>
    </xf>
    <xf numFmtId="49" fontId="4" fillId="0" borderId="0" xfId="0" applyNumberFormat="1" applyFont="1" applyAlignment="1">
      <alignment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ame="request">
        <xsd:complexType>
          <xsd:sequence>
            <!-- Parameters -->
            <xsd:element minOccurs="0" maxOccurs="1" name="doc" type="xsd:string"/>
            <xsd:element minOccurs="0" maxOccurs="1" name="date" type="xsd:date"/>
            <xsd:element minOccurs="0" maxOccurs="1" name="time" type="xsd:time"/>
            <xsd:element minOccurs="0" maxOccurs="1" name="version" type="xsd:integer"/>
            <xsd:element minOccurs="0" maxOccurs="1" name="created" type="xsd:dateTime"/>
            <xsd:element minOccurs="0" maxOccurs="1" name="key" type="xsd:string"/>
            <!-- Rows -->
            <xsd:element minOccurs="0" maxOccurs="unbounded" name="row">
              <xsd:complexType>
                <xsd:sequence>
                  <xsd:element name="col1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2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3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4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5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6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7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8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9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10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11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string" name="doc" form="unqualified"/>
                  <xsd:element minOccurs="0" nillable="true" type="xsd:date" name="date" form="unqualified"/>
                  <xsd:element minOccurs="0" nillable="true" type="xsd:integer" name="time" form="unqualified"/>
                  <xsd:element minOccurs="0" nillable="true" type="xsd:string" name="key" form="unqualified"/>
                  <xsd:element minOccurs="0" nillable="true" type="xsd:double" name="P-001-061" form="unqualified"/>
                  <xsd:element minOccurs="0" nillable="true" type="xsd:double" name="P-001-062" form="unqualified"/>
                  <xsd:element minOccurs="0" nillable="true" type="xsd:double" name="P-001-063" form="unqualified"/>
                  <xsd:element minOccurs="0" nillable="true" type="xsd:double" name="P-001-064" form="unqualified"/>
                  <xsd:element minOccurs="0" nillable="true" type="xsd:double" name="P-001-065" form="unqualified"/>
                  <xsd:element minOccurs="0" nillable="true" type="xsd:string" name="created" form="unqualified"/>
                  <xsd:element minOccurs="0" nillable="true" type="xsd:string" name="id" form="unqualified"/>
                </xsd:sequence>
              </xsd:complexType>
            </xsd:element>
          </xsd:sequence>
        </xsd:complexType>
      </xsd:element>
    </xsd:schema>
  </Schema>
  <Map ID="4" Name="response_map" RootElement="request" SchemaID="Schema2" ShowImportExportValidationErrors="false" AutoFit="true" Append="false" PreserveSortAFLayout="true" PreserveFormat="true">
    <DataBinding FileBinding="true" ConnectionID="5" DataBindingLoadMode="1"/>
  </Map>
  <Map ID="7" Name="root_карта" RootElement="root" SchemaID="Schema5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2</xdr:row>
          <xdr:rowOff>38100</xdr:rowOff>
        </xdr:from>
        <xdr:to>
          <xdr:col>10</xdr:col>
          <xdr:colOff>57150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POST doc (add new)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28575</xdr:rowOff>
        </xdr:from>
        <xdr:to>
          <xdr:col>11</xdr:col>
          <xdr:colOff>266700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realime (TEMPLATE GET)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2</xdr:row>
          <xdr:rowOff>28575</xdr:rowOff>
        </xdr:from>
        <xdr:to>
          <xdr:col>14</xdr:col>
          <xdr:colOff>381000</xdr:colOff>
          <xdr:row>3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doc (filter P1-Q1)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10</xdr:row>
          <xdr:rowOff>9525</xdr:rowOff>
        </xdr:from>
        <xdr:to>
          <xdr:col>14</xdr:col>
          <xdr:colOff>0</xdr:colOff>
          <xdr:row>11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</xdr:row>
          <xdr:rowOff>0</xdr:rowOff>
        </xdr:from>
        <xdr:to>
          <xdr:col>11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POST TEMPLATE (from selection)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P3:Y4" tableType="xml" totalsRowShown="0" connectionId="5">
  <autoFilter ref="P3:Y4"/>
  <tableColumns count="10">
    <tableColumn id="1" uniqueName="col1" name="col1">
      <xmlColumnPr mapId="4" xpath="/request/row/col1" xmlDataType="string"/>
    </tableColumn>
    <tableColumn id="2" uniqueName="id" name="id">
      <xmlColumnPr mapId="4" xpath="/request/row/col1/@id" xmlDataType="string"/>
    </tableColumn>
    <tableColumn id="3" uniqueName="col2" name="col2">
      <xmlColumnPr mapId="4" xpath="/request/row/col2" xmlDataType="string"/>
    </tableColumn>
    <tableColumn id="4" uniqueName="id" name="id2">
      <xmlColumnPr mapId="4" xpath="/request/row/col2/@id" xmlDataType="string"/>
    </tableColumn>
    <tableColumn id="5" uniqueName="col3" name="col3">
      <xmlColumnPr mapId="4" xpath="/request/row/col3" xmlDataType="string"/>
    </tableColumn>
    <tableColumn id="6" uniqueName="id" name="id3">
      <xmlColumnPr mapId="4" xpath="/request/row/col3/@id" xmlDataType="string"/>
    </tableColumn>
    <tableColumn id="7" uniqueName="col4" name="col4">
      <xmlColumnPr mapId="4" xpath="/request/row/col4" xmlDataType="string"/>
    </tableColumn>
    <tableColumn id="8" uniqueName="id" name="id4">
      <xmlColumnPr mapId="4" xpath="/request/row/col4/@id" xmlDataType="string"/>
    </tableColumn>
    <tableColumn id="9" uniqueName="col5" name="col5">
      <xmlColumnPr mapId="4" xpath="/request/row/col5" xmlDataType="string"/>
    </tableColumn>
    <tableColumn id="10" uniqueName="id" name="id5">
      <xmlColumnPr mapId="4" xpath="/request/row/col5/@id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Таблица8" displayName="Таблица8" ref="A11:K32" tableType="xml" totalsRowShown="0" connectionId="8">
  <autoFilter ref="A11:K32"/>
  <tableColumns count="11">
    <tableColumn id="1" uniqueName="doc" name="doc">
      <xmlColumnPr mapId="7" xpath="/root/row/doc" xmlDataType="string"/>
    </tableColumn>
    <tableColumn id="2" uniqueName="date" name="date">
      <xmlColumnPr mapId="7" xpath="/root/row/date" xmlDataType="date"/>
    </tableColumn>
    <tableColumn id="3" uniqueName="time" name="time">
      <xmlColumnPr mapId="7" xpath="/root/row/time" xmlDataType="integer"/>
    </tableColumn>
    <tableColumn id="4" uniqueName="key" name="key">
      <xmlColumnPr mapId="7" xpath="/root/row/key" xmlDataType="string"/>
    </tableColumn>
    <tableColumn id="5" uniqueName="P-001-061" name="P-001-061">
      <xmlColumnPr mapId="7" xpath="/root/row/P-001-061" xmlDataType="double"/>
    </tableColumn>
    <tableColumn id="6" uniqueName="P-001-062" name="P-001-062">
      <xmlColumnPr mapId="7" xpath="/root/row/P-001-062" xmlDataType="double"/>
    </tableColumn>
    <tableColumn id="7" uniqueName="P-001-063" name="P-001-063">
      <xmlColumnPr mapId="7" xpath="/root/row/P-001-063" xmlDataType="double"/>
    </tableColumn>
    <tableColumn id="8" uniqueName="P-001-064" name="P-001-064">
      <xmlColumnPr mapId="7" xpath="/root/row/P-001-064" xmlDataType="double"/>
    </tableColumn>
    <tableColumn id="9" uniqueName="P-001-065" name="P-001-065">
      <xmlColumnPr mapId="7" xpath="/root/row/P-001-065" xmlDataType="double"/>
    </tableColumn>
    <tableColumn id="10" uniqueName="created" name="created">
      <xmlColumnPr mapId="7" xpath="/root/row/created" xmlDataType="string"/>
    </tableColumn>
    <tableColumn id="11" uniqueName="id" name="id">
      <xmlColumnPr mapId="7" xpath="/root/row/id" xmlDataType="string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P1" connectionId="5">
    <xmlCellPr id="1" uniqueName="doc">
      <xmlPr mapId="4" xpath="/request/doc" xmlDataType="string"/>
    </xmlCellPr>
  </singleXmlCell>
  <singleXmlCell id="3" r="Q1" connectionId="5">
    <xmlCellPr id="1" uniqueName="date">
      <xmlPr mapId="4" xpath="/request/date" xmlDataType="date"/>
    </xmlCellPr>
  </singleXmlCell>
  <singleXmlCell id="4" r="R1" connectionId="5">
    <xmlCellPr id="1" uniqueName="time">
      <xmlPr mapId="4" xpath="/request/time" xmlDataType="time"/>
    </xmlCellPr>
  </singleXmlCell>
  <singleXmlCell id="5" r="S1" connectionId="5">
    <xmlCellPr id="1" uniqueName="version">
      <xmlPr mapId="4" xpath="/request/version" xmlDataType="integer"/>
    </xmlCellPr>
  </singleXmlCell>
  <singleXmlCell id="6" r="T1" connectionId="5">
    <xmlCellPr id="1" uniqueName="created">
      <xmlPr mapId="4" xpath="/request/created" xmlDataType="dateTime"/>
    </xmlCellPr>
  </singleXmlCell>
  <singleXmlCell id="7" r="U1" connectionId="5">
    <xmlCellPr id="1" uniqueName="key">
      <xmlPr mapId="4" xpath="/request/key" xmlDataType="string"/>
    </xmlCellPr>
  </singleXmlCell>
</singleXmlCell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SingleCells" Target="../tables/tableSingleCell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Z32"/>
  <sheetViews>
    <sheetView tabSelected="1" topLeftCell="I1" workbookViewId="0">
      <selection activeCell="O19" sqref="O19"/>
    </sheetView>
  </sheetViews>
  <sheetFormatPr defaultRowHeight="15" x14ac:dyDescent="0.25"/>
  <cols>
    <col min="1" max="1" width="21.42578125" customWidth="1"/>
    <col min="2" max="2" width="9.5703125" hidden="1" customWidth="1"/>
    <col min="3" max="3" width="7.42578125" customWidth="1"/>
    <col min="4" max="4" width="9.5703125" hidden="1" customWidth="1"/>
    <col min="5" max="5" width="11.85546875" customWidth="1"/>
    <col min="6" max="6" width="9.5703125" hidden="1" customWidth="1"/>
    <col min="7" max="7" width="11.85546875" customWidth="1"/>
    <col min="8" max="8" width="9.5703125" hidden="1" customWidth="1"/>
    <col min="9" max="9" width="11.85546875" customWidth="1"/>
    <col min="10" max="10" width="9.5703125" hidden="1" customWidth="1"/>
    <col min="11" max="11" width="27" customWidth="1"/>
    <col min="16" max="16" width="19.28515625" customWidth="1"/>
    <col min="17" max="17" width="11" bestFit="1" customWidth="1"/>
    <col min="18" max="18" width="6.85546875" customWidth="1"/>
    <col min="19" max="19" width="9.5703125" bestFit="1" customWidth="1"/>
    <col min="20" max="20" width="6.85546875" customWidth="1"/>
    <col min="21" max="21" width="32.5703125" bestFit="1" customWidth="1"/>
    <col min="22" max="22" width="6.85546875" customWidth="1"/>
    <col min="23" max="23" width="9.5703125" bestFit="1" customWidth="1"/>
    <col min="24" max="24" width="6.85546875" customWidth="1"/>
    <col min="25" max="25" width="9.5703125" bestFit="1" customWidth="1"/>
  </cols>
  <sheetData>
    <row r="1" spans="1:26" x14ac:dyDescent="0.25">
      <c r="P1" s="23" t="s">
        <v>51</v>
      </c>
      <c r="Q1" s="22">
        <v>44561</v>
      </c>
      <c r="R1" s="3" t="s">
        <v>52</v>
      </c>
      <c r="T1" s="15"/>
      <c r="U1" s="1" t="s">
        <v>10</v>
      </c>
    </row>
    <row r="3" spans="1:26" x14ac:dyDescent="0.25">
      <c r="P3" t="s">
        <v>3</v>
      </c>
      <c r="Q3" t="s">
        <v>0</v>
      </c>
      <c r="R3" t="s">
        <v>4</v>
      </c>
      <c r="S3" t="s">
        <v>2</v>
      </c>
      <c r="T3" t="s">
        <v>6</v>
      </c>
      <c r="U3" t="s">
        <v>1</v>
      </c>
      <c r="V3" t="s">
        <v>7</v>
      </c>
      <c r="W3" t="s">
        <v>5</v>
      </c>
      <c r="X3" t="s">
        <v>43</v>
      </c>
      <c r="Y3" t="s">
        <v>42</v>
      </c>
      <c r="Z3" s="2"/>
    </row>
    <row r="4" spans="1:26" x14ac:dyDescent="0.25">
      <c r="P4" s="1" t="s">
        <v>67</v>
      </c>
      <c r="Q4" s="1" t="s">
        <v>46</v>
      </c>
      <c r="R4" s="1" t="s">
        <v>53</v>
      </c>
      <c r="S4" s="1" t="s">
        <v>47</v>
      </c>
      <c r="T4" s="1" t="s">
        <v>74</v>
      </c>
      <c r="U4" s="1" t="s">
        <v>48</v>
      </c>
      <c r="V4" s="1" t="s">
        <v>94</v>
      </c>
      <c r="W4" s="1" t="s">
        <v>49</v>
      </c>
      <c r="X4" s="1" t="s">
        <v>87</v>
      </c>
      <c r="Y4" s="1" t="s">
        <v>50</v>
      </c>
      <c r="Z4" s="3"/>
    </row>
    <row r="5" spans="1:26" x14ac:dyDescent="0.25">
      <c r="Z5" s="2"/>
    </row>
    <row r="6" spans="1:26" x14ac:dyDescent="0.25">
      <c r="Z6" s="1"/>
    </row>
    <row r="11" spans="1:26" x14ac:dyDescent="0.25">
      <c r="A11" t="s">
        <v>11</v>
      </c>
      <c r="B11" t="s">
        <v>8</v>
      </c>
      <c r="C11" t="s">
        <v>41</v>
      </c>
      <c r="D11" t="s">
        <v>9</v>
      </c>
      <c r="E11" t="s">
        <v>46</v>
      </c>
      <c r="F11" t="s">
        <v>47</v>
      </c>
      <c r="G11" t="s">
        <v>48</v>
      </c>
      <c r="H11" t="s">
        <v>49</v>
      </c>
      <c r="I11" t="s">
        <v>50</v>
      </c>
      <c r="J11" t="s">
        <v>54</v>
      </c>
      <c r="K11" t="s">
        <v>0</v>
      </c>
    </row>
    <row r="12" spans="1:26" x14ac:dyDescent="0.25">
      <c r="A12" s="1" t="s">
        <v>51</v>
      </c>
      <c r="B12" s="2">
        <v>44561</v>
      </c>
      <c r="C12">
        <v>7</v>
      </c>
      <c r="D12" s="1" t="s">
        <v>10</v>
      </c>
      <c r="E12">
        <v>0.28999999999999998</v>
      </c>
      <c r="F12">
        <v>0</v>
      </c>
      <c r="G12">
        <v>0.71</v>
      </c>
      <c r="H12">
        <v>0.06</v>
      </c>
      <c r="I12">
        <v>0.04</v>
      </c>
      <c r="J12" s="1" t="s">
        <v>55</v>
      </c>
      <c r="K12" s="1" t="s">
        <v>57</v>
      </c>
    </row>
    <row r="13" spans="1:26" x14ac:dyDescent="0.25">
      <c r="A13" s="1" t="s">
        <v>51</v>
      </c>
      <c r="B13" s="2">
        <v>44561</v>
      </c>
      <c r="C13">
        <v>7</v>
      </c>
      <c r="D13" s="1" t="s">
        <v>10</v>
      </c>
      <c r="E13">
        <v>0.28999999999999998</v>
      </c>
      <c r="F13">
        <v>0</v>
      </c>
      <c r="G13">
        <v>0.71</v>
      </c>
      <c r="H13">
        <v>0.06</v>
      </c>
      <c r="I13">
        <v>0.04</v>
      </c>
      <c r="J13" s="1" t="s">
        <v>56</v>
      </c>
      <c r="K13" s="1" t="s">
        <v>58</v>
      </c>
    </row>
    <row r="14" spans="1:26" x14ac:dyDescent="0.25">
      <c r="A14" s="1" t="s">
        <v>51</v>
      </c>
      <c r="B14" s="2">
        <v>44561</v>
      </c>
      <c r="C14">
        <v>7</v>
      </c>
      <c r="D14" s="1" t="s">
        <v>10</v>
      </c>
      <c r="E14">
        <v>0.45</v>
      </c>
      <c r="F14">
        <v>0.9</v>
      </c>
      <c r="G14">
        <v>0.31</v>
      </c>
      <c r="H14">
        <v>0.31</v>
      </c>
      <c r="I14">
        <v>0.65</v>
      </c>
      <c r="J14" s="1" t="s">
        <v>59</v>
      </c>
      <c r="K14" s="1" t="s">
        <v>61</v>
      </c>
    </row>
    <row r="15" spans="1:26" x14ac:dyDescent="0.25">
      <c r="A15" s="1" t="s">
        <v>51</v>
      </c>
      <c r="B15" s="2">
        <v>44561</v>
      </c>
      <c r="C15">
        <v>7</v>
      </c>
      <c r="D15" s="1" t="s">
        <v>10</v>
      </c>
      <c r="E15">
        <v>0.45</v>
      </c>
      <c r="F15">
        <v>0.9</v>
      </c>
      <c r="G15">
        <v>0.31</v>
      </c>
      <c r="H15">
        <v>0.31</v>
      </c>
      <c r="I15">
        <v>0.65</v>
      </c>
      <c r="J15" s="1" t="s">
        <v>60</v>
      </c>
      <c r="K15" s="1" t="s">
        <v>62</v>
      </c>
    </row>
    <row r="16" spans="1:26" x14ac:dyDescent="0.25">
      <c r="A16" s="1" t="s">
        <v>51</v>
      </c>
      <c r="B16" s="2">
        <v>44561</v>
      </c>
      <c r="C16">
        <v>7</v>
      </c>
      <c r="D16" s="1" t="s">
        <v>10</v>
      </c>
      <c r="E16">
        <v>0.55000000000000004</v>
      </c>
      <c r="F16">
        <v>0.62</v>
      </c>
      <c r="G16">
        <v>0.88</v>
      </c>
      <c r="H16">
        <v>0.6</v>
      </c>
      <c r="I16">
        <v>0.59</v>
      </c>
      <c r="J16" s="1" t="s">
        <v>63</v>
      </c>
      <c r="K16" s="1" t="s">
        <v>65</v>
      </c>
    </row>
    <row r="17" spans="1:11" x14ac:dyDescent="0.25">
      <c r="A17" s="1" t="s">
        <v>51</v>
      </c>
      <c r="B17" s="2">
        <v>44561</v>
      </c>
      <c r="C17">
        <v>7</v>
      </c>
      <c r="D17" s="1" t="s">
        <v>10</v>
      </c>
      <c r="E17">
        <v>0.77</v>
      </c>
      <c r="F17">
        <v>0.99</v>
      </c>
      <c r="G17">
        <v>0.56000000000000005</v>
      </c>
      <c r="H17">
        <v>0.94</v>
      </c>
      <c r="I17">
        <v>0.63</v>
      </c>
      <c r="J17" s="1" t="s">
        <v>64</v>
      </c>
      <c r="K17" s="1" t="s">
        <v>66</v>
      </c>
    </row>
    <row r="18" spans="1:11" x14ac:dyDescent="0.25">
      <c r="A18" s="1" t="s">
        <v>51</v>
      </c>
      <c r="B18" s="2">
        <v>44561</v>
      </c>
      <c r="C18">
        <v>7</v>
      </c>
      <c r="D18" s="1" t="s">
        <v>10</v>
      </c>
      <c r="E18">
        <v>0.33</v>
      </c>
      <c r="F18">
        <v>0.97</v>
      </c>
      <c r="G18">
        <v>0.22</v>
      </c>
      <c r="H18">
        <v>0.61</v>
      </c>
      <c r="I18">
        <v>0.83</v>
      </c>
      <c r="J18" s="1" t="s">
        <v>68</v>
      </c>
      <c r="K18" s="1" t="s">
        <v>71</v>
      </c>
    </row>
    <row r="19" spans="1:11" x14ac:dyDescent="0.25">
      <c r="A19" s="1" t="s">
        <v>51</v>
      </c>
      <c r="B19" s="2">
        <v>44561</v>
      </c>
      <c r="C19">
        <v>7</v>
      </c>
      <c r="D19" s="1" t="s">
        <v>10</v>
      </c>
      <c r="E19">
        <v>0.33</v>
      </c>
      <c r="F19">
        <v>0.97</v>
      </c>
      <c r="G19">
        <v>0.22</v>
      </c>
      <c r="H19">
        <v>0.61</v>
      </c>
      <c r="I19">
        <v>0.83</v>
      </c>
      <c r="J19" s="1" t="s">
        <v>69</v>
      </c>
      <c r="K19" s="1" t="s">
        <v>72</v>
      </c>
    </row>
    <row r="20" spans="1:11" x14ac:dyDescent="0.25">
      <c r="A20" s="1" t="s">
        <v>51</v>
      </c>
      <c r="B20" s="2">
        <v>44561</v>
      </c>
      <c r="C20">
        <v>7</v>
      </c>
      <c r="D20" s="1" t="s">
        <v>10</v>
      </c>
      <c r="E20">
        <v>0.33</v>
      </c>
      <c r="F20">
        <v>0.97</v>
      </c>
      <c r="G20">
        <v>0.22</v>
      </c>
      <c r="H20">
        <v>0.61</v>
      </c>
      <c r="I20">
        <v>0.83</v>
      </c>
      <c r="J20" s="1" t="s">
        <v>70</v>
      </c>
      <c r="K20" s="1" t="s">
        <v>73</v>
      </c>
    </row>
    <row r="21" spans="1:11" x14ac:dyDescent="0.25">
      <c r="A21" s="1" t="s">
        <v>51</v>
      </c>
      <c r="B21" s="2">
        <v>44561</v>
      </c>
      <c r="C21">
        <v>7</v>
      </c>
      <c r="D21" s="1" t="s">
        <v>10</v>
      </c>
      <c r="E21">
        <v>0.33</v>
      </c>
      <c r="F21">
        <v>0.97</v>
      </c>
      <c r="G21">
        <v>0.22</v>
      </c>
      <c r="H21">
        <v>0.61</v>
      </c>
      <c r="I21">
        <v>0.83</v>
      </c>
      <c r="J21" s="1" t="s">
        <v>75</v>
      </c>
      <c r="K21" s="1" t="s">
        <v>78</v>
      </c>
    </row>
    <row r="22" spans="1:11" x14ac:dyDescent="0.25">
      <c r="A22" s="1" t="s">
        <v>51</v>
      </c>
      <c r="B22" s="2">
        <v>44561</v>
      </c>
      <c r="C22">
        <v>7</v>
      </c>
      <c r="D22" s="1" t="s">
        <v>10</v>
      </c>
      <c r="E22">
        <v>0.33</v>
      </c>
      <c r="F22">
        <v>0.97</v>
      </c>
      <c r="G22">
        <v>0.22</v>
      </c>
      <c r="H22">
        <v>0.61</v>
      </c>
      <c r="I22">
        <v>0.83</v>
      </c>
      <c r="J22" s="1" t="s">
        <v>76</v>
      </c>
      <c r="K22" s="1" t="s">
        <v>79</v>
      </c>
    </row>
    <row r="23" spans="1:11" x14ac:dyDescent="0.25">
      <c r="A23" s="1" t="s">
        <v>51</v>
      </c>
      <c r="B23" s="2">
        <v>44561</v>
      </c>
      <c r="C23">
        <v>7</v>
      </c>
      <c r="D23" s="1" t="s">
        <v>10</v>
      </c>
      <c r="E23">
        <v>0.33</v>
      </c>
      <c r="F23">
        <v>0.97</v>
      </c>
      <c r="G23">
        <v>0.22</v>
      </c>
      <c r="H23">
        <v>0.61</v>
      </c>
      <c r="I23">
        <v>0.83</v>
      </c>
      <c r="J23" s="1" t="s">
        <v>77</v>
      </c>
      <c r="K23" s="1" t="s">
        <v>80</v>
      </c>
    </row>
    <row r="24" spans="1:11" x14ac:dyDescent="0.25">
      <c r="A24" s="1" t="s">
        <v>51</v>
      </c>
      <c r="B24" s="2">
        <v>44561</v>
      </c>
      <c r="C24">
        <v>7</v>
      </c>
      <c r="D24" s="1" t="s">
        <v>10</v>
      </c>
      <c r="E24">
        <v>0.33</v>
      </c>
      <c r="F24">
        <v>0.97</v>
      </c>
      <c r="G24">
        <v>0.22</v>
      </c>
      <c r="H24">
        <v>0.61</v>
      </c>
      <c r="I24">
        <v>0.83</v>
      </c>
      <c r="J24" s="1" t="s">
        <v>81</v>
      </c>
      <c r="K24" s="1" t="s">
        <v>82</v>
      </c>
    </row>
    <row r="25" spans="1:11" x14ac:dyDescent="0.25">
      <c r="A25" s="1" t="s">
        <v>51</v>
      </c>
      <c r="B25" s="2">
        <v>44561</v>
      </c>
      <c r="C25">
        <v>7</v>
      </c>
      <c r="D25" s="1" t="s">
        <v>10</v>
      </c>
      <c r="E25">
        <v>0</v>
      </c>
      <c r="F25">
        <v>0.72</v>
      </c>
      <c r="G25">
        <v>0.6</v>
      </c>
      <c r="H25">
        <v>0.56999999999999995</v>
      </c>
      <c r="I25">
        <v>0.56999999999999995</v>
      </c>
      <c r="J25" s="1" t="s">
        <v>83</v>
      </c>
      <c r="K25" s="1" t="s">
        <v>84</v>
      </c>
    </row>
    <row r="26" spans="1:11" x14ac:dyDescent="0.25">
      <c r="A26" s="1" t="s">
        <v>51</v>
      </c>
      <c r="B26" s="2">
        <v>44561</v>
      </c>
      <c r="C26">
        <v>7</v>
      </c>
      <c r="D26" s="1" t="s">
        <v>10</v>
      </c>
      <c r="E26">
        <v>0.09</v>
      </c>
      <c r="F26">
        <v>0.26</v>
      </c>
      <c r="G26">
        <v>0.88</v>
      </c>
      <c r="H26">
        <v>0.53</v>
      </c>
      <c r="I26">
        <v>0.67</v>
      </c>
      <c r="J26" s="1" t="s">
        <v>85</v>
      </c>
      <c r="K26" s="1" t="s">
        <v>86</v>
      </c>
    </row>
    <row r="27" spans="1:11" x14ac:dyDescent="0.25">
      <c r="A27" s="1" t="s">
        <v>51</v>
      </c>
      <c r="B27" s="2">
        <v>44561</v>
      </c>
      <c r="C27">
        <v>7</v>
      </c>
      <c r="D27" s="1" t="s">
        <v>10</v>
      </c>
      <c r="E27">
        <v>0.31</v>
      </c>
      <c r="F27">
        <v>0.92</v>
      </c>
      <c r="G27">
        <v>0.85</v>
      </c>
      <c r="H27">
        <v>0.8</v>
      </c>
      <c r="I27">
        <v>0.21</v>
      </c>
      <c r="J27" s="1" t="s">
        <v>88</v>
      </c>
      <c r="K27" s="1" t="s">
        <v>89</v>
      </c>
    </row>
    <row r="28" spans="1:11" x14ac:dyDescent="0.25">
      <c r="A28" s="1" t="s">
        <v>51</v>
      </c>
      <c r="B28" s="2">
        <v>44561</v>
      </c>
      <c r="C28">
        <v>7</v>
      </c>
      <c r="D28" s="1" t="s">
        <v>10</v>
      </c>
      <c r="E28">
        <v>0.31</v>
      </c>
      <c r="F28">
        <v>0.92</v>
      </c>
      <c r="G28">
        <v>0.85</v>
      </c>
      <c r="H28">
        <v>0.8</v>
      </c>
      <c r="I28">
        <v>0.21</v>
      </c>
      <c r="J28" s="1" t="s">
        <v>90</v>
      </c>
      <c r="K28" s="1" t="s">
        <v>92</v>
      </c>
    </row>
    <row r="29" spans="1:11" x14ac:dyDescent="0.25">
      <c r="A29" s="1" t="s">
        <v>51</v>
      </c>
      <c r="B29" s="2">
        <v>44561</v>
      </c>
      <c r="C29">
        <v>7</v>
      </c>
      <c r="D29" s="1" t="s">
        <v>10</v>
      </c>
      <c r="E29">
        <v>0.31</v>
      </c>
      <c r="F29">
        <v>0.92</v>
      </c>
      <c r="G29">
        <v>0.85</v>
      </c>
      <c r="H29">
        <v>0.8</v>
      </c>
      <c r="I29">
        <v>0.21</v>
      </c>
      <c r="J29" s="1" t="s">
        <v>91</v>
      </c>
      <c r="K29" s="1" t="s">
        <v>93</v>
      </c>
    </row>
    <row r="30" spans="1:11" x14ac:dyDescent="0.25">
      <c r="A30" s="1" t="s">
        <v>51</v>
      </c>
      <c r="B30" s="2">
        <v>44561</v>
      </c>
      <c r="C30">
        <v>7</v>
      </c>
      <c r="D30" s="1" t="s">
        <v>10</v>
      </c>
      <c r="E30">
        <v>0.03</v>
      </c>
      <c r="F30">
        <v>0.05</v>
      </c>
      <c r="G30">
        <v>0.28000000000000003</v>
      </c>
      <c r="H30">
        <v>0</v>
      </c>
      <c r="I30">
        <v>0.38</v>
      </c>
      <c r="J30" s="1" t="s">
        <v>95</v>
      </c>
      <c r="K30" s="1" t="s">
        <v>98</v>
      </c>
    </row>
    <row r="31" spans="1:11" x14ac:dyDescent="0.25">
      <c r="A31" s="1" t="s">
        <v>51</v>
      </c>
      <c r="B31" s="2">
        <v>44561</v>
      </c>
      <c r="C31">
        <v>7</v>
      </c>
      <c r="D31" s="1" t="s">
        <v>10</v>
      </c>
      <c r="E31">
        <v>0.03</v>
      </c>
      <c r="F31">
        <v>0.05</v>
      </c>
      <c r="G31">
        <v>0.28000000000000003</v>
      </c>
      <c r="H31">
        <v>0</v>
      </c>
      <c r="I31">
        <v>0.38</v>
      </c>
      <c r="J31" s="1" t="s">
        <v>96</v>
      </c>
      <c r="K31" s="1" t="s">
        <v>99</v>
      </c>
    </row>
    <row r="32" spans="1:11" x14ac:dyDescent="0.25">
      <c r="A32" s="1" t="s">
        <v>51</v>
      </c>
      <c r="B32" s="2">
        <v>44561</v>
      </c>
      <c r="C32">
        <v>7</v>
      </c>
      <c r="D32" s="1" t="s">
        <v>10</v>
      </c>
      <c r="E32">
        <v>0.03</v>
      </c>
      <c r="F32">
        <v>0.05</v>
      </c>
      <c r="G32">
        <v>0.28000000000000003</v>
      </c>
      <c r="H32">
        <v>0</v>
      </c>
      <c r="I32">
        <v>0.38</v>
      </c>
      <c r="J32" s="1" t="s">
        <v>97</v>
      </c>
      <c r="K32" s="1" t="s">
        <v>100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OSTnewDOC_Click">
                <anchor moveWithCells="1">
                  <from>
                    <xdr:col>4</xdr:col>
                    <xdr:colOff>590550</xdr:colOff>
                    <xdr:row>2</xdr:row>
                    <xdr:rowOff>38100</xdr:rowOff>
                  </from>
                  <to>
                    <xdr:col>10</xdr:col>
                    <xdr:colOff>57150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llRealtime_Click">
                <anchor moveWithCells="1" sizeWithCells="1">
                  <from>
                    <xdr:col>10</xdr:col>
                    <xdr:colOff>228600</xdr:colOff>
                    <xdr:row>2</xdr:row>
                    <xdr:rowOff>28575</xdr:rowOff>
                  </from>
                  <to>
                    <xdr:col>11</xdr:col>
                    <xdr:colOff>266700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tDoc_Click">
                <anchor moveWithCells="1" sizeWithCells="1">
                  <from>
                    <xdr:col>11</xdr:col>
                    <xdr:colOff>381000</xdr:colOff>
                    <xdr:row>2</xdr:row>
                    <xdr:rowOff>28575</xdr:rowOff>
                  </from>
                  <to>
                    <xdr:col>14</xdr:col>
                    <xdr:colOff>381000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GetList_Click">
                <anchor moveWithCells="1" sizeWithCells="1">
                  <from>
                    <xdr:col>11</xdr:col>
                    <xdr:colOff>190500</xdr:colOff>
                    <xdr:row>10</xdr:row>
                    <xdr:rowOff>9525</xdr:rowOff>
                  </from>
                  <to>
                    <xdr:col>14</xdr:col>
                    <xdr:colOff>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O12"/>
  <sheetViews>
    <sheetView workbookViewId="0">
      <selection activeCell="G21" sqref="G21"/>
    </sheetView>
  </sheetViews>
  <sheetFormatPr defaultRowHeight="15" x14ac:dyDescent="0.25"/>
  <cols>
    <col min="2" max="2" width="15.42578125" bestFit="1" customWidth="1"/>
    <col min="3" max="3" width="17.28515625" bestFit="1" customWidth="1"/>
    <col min="4" max="4" width="3.85546875" bestFit="1" customWidth="1"/>
    <col min="6" max="6" width="11.85546875" bestFit="1" customWidth="1"/>
    <col min="7" max="7" width="32.5703125" bestFit="1" customWidth="1"/>
    <col min="8" max="8" width="5.5703125" bestFit="1" customWidth="1"/>
    <col min="9" max="9" width="11" bestFit="1" customWidth="1"/>
    <col min="10" max="10" width="5.5703125" bestFit="1" customWidth="1"/>
    <col min="11" max="11" width="30" bestFit="1" customWidth="1"/>
    <col min="12" max="12" width="7.7109375" bestFit="1" customWidth="1"/>
    <col min="13" max="13" width="44.140625" bestFit="1" customWidth="1"/>
    <col min="14" max="14" width="100.85546875" bestFit="1" customWidth="1"/>
    <col min="15" max="15" width="42.140625" bestFit="1" customWidth="1"/>
  </cols>
  <sheetData>
    <row r="1" spans="2:15" x14ac:dyDescent="0.25">
      <c r="N1" s="17" t="s">
        <v>40</v>
      </c>
      <c r="O1" s="18"/>
    </row>
    <row r="2" spans="2:15" ht="15.75" x14ac:dyDescent="0.25">
      <c r="E2" s="4" t="s">
        <v>8</v>
      </c>
      <c r="G2" s="5" t="s">
        <v>36</v>
      </c>
      <c r="K2" s="10"/>
      <c r="N2" s="19" t="str">
        <f>CONCATENATE("&lt;",E2,"&gt;",TEXT(G2,"yyyy-mm-dd"),"&lt;/",E2,"&gt;")</f>
        <v>&lt;date&gt;par["date"]&lt;/date&gt;</v>
      </c>
      <c r="O2" s="18"/>
    </row>
    <row r="3" spans="2:15" x14ac:dyDescent="0.25">
      <c r="E3" s="4" t="s">
        <v>9</v>
      </c>
      <c r="G3" s="6" t="s">
        <v>10</v>
      </c>
      <c r="N3" s="20" t="str">
        <f t="shared" ref="N3:N5" si="0">CONCATENATE("&lt;",E3,"&gt;",G3,"&lt;/",E3,"&gt;")</f>
        <v>&lt;key&gt;fghdfghdfghdf2354345uy675865123&lt;/key&gt;</v>
      </c>
      <c r="O3" s="18"/>
    </row>
    <row r="4" spans="2:15" x14ac:dyDescent="0.25">
      <c r="E4" s="4" t="s">
        <v>11</v>
      </c>
      <c r="G4" s="6" t="s">
        <v>51</v>
      </c>
      <c r="N4" s="20" t="str">
        <f t="shared" si="0"/>
        <v>&lt;doc&gt;OGU.XXX.REGIM.HOUR&lt;/doc&gt;</v>
      </c>
      <c r="O4" s="18"/>
    </row>
    <row r="5" spans="2:15" x14ac:dyDescent="0.25">
      <c r="E5" s="4" t="s">
        <v>41</v>
      </c>
      <c r="G5" s="5" t="s">
        <v>44</v>
      </c>
      <c r="N5" s="20" t="str">
        <f t="shared" si="0"/>
        <v>&lt;time&gt;par["time"]&lt;/time&gt;</v>
      </c>
      <c r="O5" s="18"/>
    </row>
    <row r="6" spans="2:15" x14ac:dyDescent="0.25">
      <c r="E6" s="13"/>
      <c r="G6" s="14"/>
      <c r="N6" s="19"/>
      <c r="O6" s="18"/>
    </row>
    <row r="7" spans="2:15" x14ac:dyDescent="0.25">
      <c r="B7" s="7" t="s">
        <v>37</v>
      </c>
      <c r="C7" s="7" t="s">
        <v>38</v>
      </c>
      <c r="D7" s="7" t="s">
        <v>12</v>
      </c>
      <c r="E7" s="7" t="s">
        <v>13</v>
      </c>
      <c r="F7" s="8" t="s">
        <v>14</v>
      </c>
      <c r="G7" s="9" t="s">
        <v>15</v>
      </c>
      <c r="H7" s="9" t="s">
        <v>16</v>
      </c>
      <c r="I7" s="9" t="s">
        <v>17</v>
      </c>
      <c r="J7" s="9" t="s">
        <v>35</v>
      </c>
      <c r="K7" s="7" t="s">
        <v>18</v>
      </c>
      <c r="L7" s="11" t="s">
        <v>19</v>
      </c>
      <c r="M7" s="21" t="s">
        <v>45</v>
      </c>
      <c r="N7" s="20"/>
      <c r="O7" s="18"/>
    </row>
    <row r="8" spans="2:15" x14ac:dyDescent="0.25">
      <c r="B8" s="6" t="s">
        <v>25</v>
      </c>
      <c r="C8" s="6"/>
      <c r="D8" s="6">
        <v>1</v>
      </c>
      <c r="E8" s="6" t="s">
        <v>46</v>
      </c>
      <c r="F8" s="6" t="s">
        <v>34</v>
      </c>
      <c r="G8" s="6" t="s">
        <v>29</v>
      </c>
      <c r="H8" s="6" t="s">
        <v>28</v>
      </c>
      <c r="I8" s="6" t="s">
        <v>36</v>
      </c>
      <c r="J8" s="6">
        <v>15</v>
      </c>
      <c r="K8" s="6" t="s">
        <v>21</v>
      </c>
      <c r="L8" s="12" t="s">
        <v>20</v>
      </c>
      <c r="M8" s="20" t="str">
        <f t="shared" ref="M8:M12" si="1">CONCATENATE(F8,"""",G8,"""",",","""",H8,""",",I8,",",J8,")")</f>
        <v>SelectSingle("Sensor-00-21","P",par["date"],15)</v>
      </c>
      <c r="N8" s="20" t="str">
        <f t="shared" ref="N8:N12" si="2">CONCATENATE(B8,"&lt;col",D8," id=""",E8,"""&gt;",M8,"&lt;/col",D8,"&gt;",C8)</f>
        <v>&lt;row&gt;&lt;col1 id="P-001-061"&gt;SelectSingle("Sensor-00-21","P",par["date"],15)&lt;/col1&gt;</v>
      </c>
    </row>
    <row r="9" spans="2:15" x14ac:dyDescent="0.25">
      <c r="B9" s="6"/>
      <c r="C9" s="6"/>
      <c r="D9" s="6">
        <v>2</v>
      </c>
      <c r="E9" s="6" t="s">
        <v>47</v>
      </c>
      <c r="F9" s="6" t="s">
        <v>34</v>
      </c>
      <c r="G9" s="6" t="s">
        <v>30</v>
      </c>
      <c r="H9" s="6" t="s">
        <v>28</v>
      </c>
      <c r="I9" s="6" t="s">
        <v>36</v>
      </c>
      <c r="J9" s="6">
        <v>17</v>
      </c>
      <c r="K9" s="6" t="s">
        <v>22</v>
      </c>
      <c r="L9" s="12" t="s">
        <v>20</v>
      </c>
      <c r="M9" s="20" t="str">
        <f t="shared" si="1"/>
        <v>SelectSingle("Sensor-00-22","P",par["date"],17)</v>
      </c>
      <c r="N9" s="20" t="str">
        <f t="shared" si="2"/>
        <v>&lt;col2 id="P-001-062"&gt;SelectSingle("Sensor-00-22","P",par["date"],17)&lt;/col2&gt;</v>
      </c>
    </row>
    <row r="10" spans="2:15" x14ac:dyDescent="0.25">
      <c r="B10" s="6"/>
      <c r="C10" s="6"/>
      <c r="D10" s="6">
        <v>3</v>
      </c>
      <c r="E10" s="6" t="s">
        <v>48</v>
      </c>
      <c r="F10" s="6" t="s">
        <v>34</v>
      </c>
      <c r="G10" s="6" t="s">
        <v>31</v>
      </c>
      <c r="H10" s="6" t="s">
        <v>28</v>
      </c>
      <c r="I10" s="6" t="s">
        <v>36</v>
      </c>
      <c r="J10" s="6">
        <v>19</v>
      </c>
      <c r="K10" s="6" t="s">
        <v>23</v>
      </c>
      <c r="L10" s="12" t="s">
        <v>20</v>
      </c>
      <c r="M10" s="20" t="str">
        <f t="shared" si="1"/>
        <v>SelectSingle("Sensor-00-23","P",par["date"],19)</v>
      </c>
      <c r="N10" s="20" t="str">
        <f t="shared" si="2"/>
        <v>&lt;col3 id="P-001-063"&gt;SelectSingle("Sensor-00-23","P",par["date"],19)&lt;/col3&gt;</v>
      </c>
    </row>
    <row r="11" spans="2:15" x14ac:dyDescent="0.25">
      <c r="B11" s="6"/>
      <c r="C11" s="6"/>
      <c r="D11" s="6">
        <v>4</v>
      </c>
      <c r="E11" s="6" t="s">
        <v>49</v>
      </c>
      <c r="F11" s="6" t="s">
        <v>34</v>
      </c>
      <c r="G11" s="6" t="s">
        <v>32</v>
      </c>
      <c r="H11" s="6" t="s">
        <v>28</v>
      </c>
      <c r="I11" s="6" t="s">
        <v>36</v>
      </c>
      <c r="J11" s="6">
        <v>21</v>
      </c>
      <c r="K11" s="6" t="s">
        <v>24</v>
      </c>
      <c r="L11" s="12" t="s">
        <v>20</v>
      </c>
      <c r="M11" s="20" t="str">
        <f t="shared" si="1"/>
        <v>SelectSingle("Sensor-00-24","P",par["date"],21)</v>
      </c>
      <c r="N11" s="20" t="str">
        <f t="shared" si="2"/>
        <v>&lt;col4 id="P-001-064"&gt;SelectSingle("Sensor-00-24","P",par["date"],21)&lt;/col4&gt;</v>
      </c>
    </row>
    <row r="12" spans="2:15" x14ac:dyDescent="0.25">
      <c r="B12" s="6"/>
      <c r="C12" s="16" t="s">
        <v>39</v>
      </c>
      <c r="D12" s="6">
        <v>5</v>
      </c>
      <c r="E12" s="6" t="s">
        <v>50</v>
      </c>
      <c r="F12" s="6" t="s">
        <v>34</v>
      </c>
      <c r="G12" s="6" t="s">
        <v>33</v>
      </c>
      <c r="H12" s="6" t="s">
        <v>28</v>
      </c>
      <c r="I12" s="6" t="s">
        <v>36</v>
      </c>
      <c r="J12" s="6">
        <v>22</v>
      </c>
      <c r="K12" s="6" t="s">
        <v>26</v>
      </c>
      <c r="L12" s="12" t="s">
        <v>27</v>
      </c>
      <c r="M12" s="20" t="str">
        <f t="shared" si="1"/>
        <v>SelectSingle("Sensor-00-25","P",par["date"],22)</v>
      </c>
      <c r="N12" s="20" t="str">
        <f t="shared" si="2"/>
        <v>&lt;col5 id="P-001-065"&gt;SelectSingle("Sensor-00-25","P",par["date"],22)&lt;/col5&gt;&lt;/row&gt;&lt;/request&gt;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ostTemplate_Click">
                <anchor moveWithCells="1" sizeWithCells="1">
                  <from>
                    <xdr:col>10</xdr:col>
                    <xdr:colOff>76200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data</vt:lpstr>
      <vt:lpstr>ballance-tmpl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Рекало Александр Борисович</cp:lastModifiedBy>
  <dcterms:created xsi:type="dcterms:W3CDTF">2020-01-19T10:04:12Z</dcterms:created>
  <dcterms:modified xsi:type="dcterms:W3CDTF">2020-01-28T13:08:30Z</dcterms:modified>
</cp:coreProperties>
</file>